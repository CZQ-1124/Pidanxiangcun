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c15de8bf2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5640488bc174d09"/>
    <x:sheet xmlns:r="http://schemas.openxmlformats.org/officeDocument/2006/relationships" name="数据字典" sheetId="2" r:id="R8103812abfb647b9"/>
    <x:sheet xmlns:r="http://schemas.openxmlformats.org/officeDocument/2006/relationships" name="枚举词典" sheetId="3" r:id="R2c7bd780cec84634"/>
    <x:sheet xmlns:r="http://schemas.openxmlformats.org/officeDocument/2006/relationships" name="病例主表" sheetId="4" r:id="R6b2e0740791a40df"/>
    <x:sheet xmlns:r="http://schemas.openxmlformats.org/officeDocument/2006/relationships" name="统计看板" sheetId="5" r:id="R242c7d283cce44a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L1" authorId="0">
      <x:text>
        <x:r>
          <x:t>系统正式版建议由皮肤科/病理结果终审后更新；当前默认等于 working_label 以便系统先跑起来。</x:t>
        </x:r>
      </x:text>
    </x:comment>
    <x:comment ref="N1" authorId="0">
      <x:text>
        <x:r>
          <x:t>若有病理、镜检、随访明确结果，请优先补这里。</x:t>
        </x:r>
      </x:text>
    </x:comment>
    <x:comment ref="AD1" authorId="0">
      <x:text>
        <x:r>
          <x:t>由 referral_level 自动计算：观察=1，普通转诊=2，尽快转诊=3，紧急=4。</x:t>
        </x:r>
      </x:text>
    </x:comment>
    <x:comment ref="AE1" authorId="0">
      <x:text>
        <x:r>
          <x:t>由 usable_for_quiz、is_typical_case、danger_signal 自动计算。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b/>
    </x:font>
    <x:font>
      <x:color rgb="000000FF"/>
    </x:font>
    <x:font>
      <x:color rgb="00666666"/>
    </x:font>
    <x:font>
      <x:color rgb="00000000"/>
    </x:font>
    <x:font>
      <x:b/>
      <x:sz val="14"/>
    </x:font>
    <x:font>
      <x:b/>
      <x:color rgb="00FFFFFF"/>
    </x:font>
    <x:font>
      <x:i/>
      <x:color rgb="00666666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AF2FF"/>
      </x:patternFill>
    </x:fill>
    <x:fill>
      <x:patternFill patternType="solid">
        <x:fgColor rgb="00E7E6E6"/>
      </x:patternFill>
    </x:fill>
    <x:fill>
      <x:patternFill patternType="solid">
        <x:fgColor rgb="00DDEBF7"/>
      </x:patternFill>
    </x:fill>
    <x:fill>
      <x:patternFill patternType="solid">
        <x:fgColor rgb="00FCE4D6"/>
      </x:patternFill>
    </x:fill>
    <x:fill>
      <x:patternFill patternType="solid">
        <x:fgColor rgb="00FDE9D9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BFBFB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/>
    <x:xf numFmtId="0" fontId="2" fillId="0" borderId="0" xfId="0"/>
    <x:xf numFmtId="0" fontId="0" fillId="0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0" fontId="4" fillId="4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5" fillId="5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6" fillId="0" borderId="0" xfId="0"/>
    <x:xf numFmtId="0" fontId="2" fillId="8" borderId="1" xfId="0"/>
    <x:xf numFmtId="0" fontId="2" fillId="5" borderId="0" xfId="0"/>
    <x:xf numFmtId="0" fontId="7" fillId="2" borderId="0" xfId="0"/>
    <x:xf numFmtId="0" fontId="2" fillId="8" borderId="0" xfId="0"/>
    <x:xf numFmtId="0" fontId="0" fillId="8" borderId="0" xfId="0"/>
    <x:xf numFmtId="0" fontId="0" fillId="6" borderId="0" xfId="0"/>
    <x:xf numFmtId="0" fontId="8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2d607e058473c" /><Relationship Type="http://schemas.openxmlformats.org/officeDocument/2006/relationships/theme" Target="/xl/theme/theme1.xml" Id="R19911cd7b0c24da7" /><Relationship Type="http://schemas.openxmlformats.org/officeDocument/2006/relationships/sharedStrings" Target="/xl/sharedStrings.xml" Id="Ree3f7db72e6f45b4" /><Relationship Type="http://schemas.openxmlformats.org/officeDocument/2006/relationships/worksheet" Target="/xl/worksheets/sheet1.xml" Id="R85640488bc174d09" /><Relationship Type="http://schemas.openxmlformats.org/officeDocument/2006/relationships/worksheet" Target="/xl/worksheets/sheet2.xml" Id="R8103812abfb647b9" /><Relationship Type="http://schemas.openxmlformats.org/officeDocument/2006/relationships/worksheet" Target="/xl/worksheets/sheet3.xml" Id="R2c7bd780cec84634" /><Relationship Type="http://schemas.openxmlformats.org/officeDocument/2006/relationships/worksheet" Target="/xl/worksheets/sheet4.xml" Id="R6b2e0740791a40df" /><Relationship Type="http://schemas.openxmlformats.org/officeDocument/2006/relationships/worksheet" Target="/xl/worksheets/sheet5.xml" Id="R242c7d283cce44af" /><Relationship Type="http://schemas.microsoft.com/office/2017/10/relationships/person" Target="/xl/persons/person.xml" Id="Ra78de69ff1ab4e7b" /></Relationships>
</file>

<file path=xl/persons/person.xml><?xml version="1.0" encoding="utf-8"?>
<xltc:personList xmlns:xltc="http://schemas.microsoft.com/office/spreadsheetml/2018/threadedcomments">
  <xltc:person displayName="OpenAI" id="{6ECFC210-A55D-3056-A579-10E814A6E3DC}"/>
</xltc:personList>
</file>

<file path=xl/tables/table1.xml><?xml version="1.0" encoding="utf-8"?>
<x:table xmlns:x="http://schemas.openxmlformats.org/spreadsheetml/2006/main" id="1" name="CaseImageMaster" displayName="CaseImageMaster" ref="A1:AF24" headerRowCount="1">
  <x:autoFilter ref="A1:AF24"/>
  <x:tableColumns count="32">
    <x:tableColumn id="1" name="case_id"/>
    <x:tableColumn id="2" name="image_id"/>
    <x:tableColumn id="3" name="patient_id_anon"/>
    <x:tableColumn id="4" name="file_name"/>
    <x:tableColumn id="5" name="relative_path"/>
    <x:tableColumn id="6" name="source_batch"/>
    <x:tableColumn id="7" name="original_group"/>
    <x:tableColumn id="8" name="use_tag"/>
    <x:tableColumn id="9" name="disease_level1"/>
    <x:tableColumn id="10" name="disease_level2"/>
    <x:tableColumn id="11" name="working_label"/>
    <x:tableColumn id="12" name="final_confirmed_diagnosis"/>
    <x:tableColumn id="13" name="diagnosis_status"/>
    <x:tableColumn id="14" name="pathology_confirmed"/>
    <x:tableColumn id="15" name="body_site"/>
    <x:tableColumn id="16" name="image_type"/>
    <x:tableColumn id="17" name="image_quality"/>
    <x:tableColumn id="18" name="is_typical_case"/>
    <x:tableColumn id="19" name="danger_signal"/>
    <x:tableColumn id="20" name="referral_level"/>
    <x:tableColumn id="21" name="suspected_diagnosis_1"/>
    <x:tableColumn id="22" name="suspected_diagnosis_2"/>
    <x:tableColumn id="23" name="common_misdiagnosis"/>
    <x:tableColumn id="24" name="symptom_keywords"/>
    <x:tableColumn id="25" name="teaching_point"/>
    <x:tableColumn id="26" name="gold_explanation"/>
    <x:tableColumn id="27" name="usable_for_quiz"/>
    <x:tableColumn id="28" name="village_doctor_level"/>
    <x:tableColumn id="29" name="note"/>
    <x:tableColumn id="30" name="urgency_score"/>
    <x:tableColumn id="31" name="split_suggestion"/>
    <x:tableColumn id="32" name="system_priority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15986bdb3d88429a" /><Relationship Type="http://schemas.openxmlformats.org/officeDocument/2006/relationships/vmlDrawing" Target="/xl/drawings/vmldrawing.vml" Id="R8036e12d0be44b1d" /><Relationship Type="http://schemas.openxmlformats.org/officeDocument/2006/relationships/table" Target="/xl/tables/table1.xml" Id="Rf34c14a297384e7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8" customWidth="1"/>
  </x:cols>
  <x:sheetData>
    <x:row r="1">
      <x:c r="A1" s="1" t="inlineStr">
        <x:is>
          <x:t xml:space="preserve">模块</x:t>
        </x:is>
      </x:c>
      <x:c r="B1" s="1" t="inlineStr">
        <x:is>
          <x:t xml:space="preserve">说明</x:t>
        </x:is>
      </x:c>
    </x:row>
    <x:row r="2">
      <x:c r="A2" s="2" t="inlineStr">
        <x:is>
          <x:t xml:space="preserve">皮蛋系统_种子病例库最终版（23图）</x:t>
        </x:is>
      </x:c>
      <x:c r="B2" s="3" t="inlineStr">
        <x:is>
          <x:t xml:space="preserve">本工作簿用于作为皮蛋系统的第一版种子病例库、题库和转诊规则底表。</x:t>
        </x:is>
      </x:c>
    </x:row>
    <x:row r="3">
      <x:c r="A3" s="2" t="inlineStr">
        <x:is>
          <x:t xml:space="preserve">你现在怎么用</x:t>
        </x:is>
      </x:c>
      <x:c r="B3" s="3" t="inlineStr">
        <x:is>
          <x:t xml:space="preserve">先把所有原始图片统一放到 images 文件夹，再保证“病例主表”中的 relative_path 与真实文件名一致。</x:t>
        </x:is>
      </x:c>
    </x:row>
    <x:row r="4">
      <x:c r="A4" s="2" t="inlineStr">
        <x:is>
          <x:t xml:space="preserve">建议导入顺序</x:t>
        </x:is>
      </x:c>
      <x:c r="B4" s="3" t="inlineStr">
        <x:is>
          <x:t xml:space="preserve">1）先导入病例主表；2）按 urgency_score 做高危优先展示；3）按 split_suggestion 划分题库/复核池。</x:t>
        </x:is>
      </x:c>
    </x:row>
    <x:row r="5">
      <x:c r="A5" s="2" t="inlineStr">
        <x:is>
          <x:t xml:space="preserve">当前标签状态</x:t>
        </x:is>
      </x:c>
      <x:c r="B5" s="3" t="inlineStr">
        <x:is>
          <x:t xml:space="preserve">本表中的 final_confirmed_diagnosis 目前等于工作标签，用于系统启动；正式上线前请由皮肤科或病理结果再做终审。</x:t>
        </x:is>
      </x:c>
    </x:row>
    <x:row r="6">
      <x:c r="A6" s="2" t="inlineStr">
        <x:is>
          <x:t xml:space="preserve">最重要字段</x:t>
        </x:is>
      </x:c>
      <x:c r="B6" s="3" t="inlineStr">
        <x:is>
          <x:t xml:space="preserve">danger_signal、referral_level、use_tag、teaching_point、gold_explanation。</x:t>
        </x:is>
      </x:c>
    </x:row>
    <x:row r="7">
      <x:c r="A7" s="2" t="inlineStr">
        <x:is>
          <x:t xml:space="preserve">推荐系统逻辑</x:t>
        </x:is>
      </x:c>
      <x:c r="B7" s="3" t="inlineStr">
        <x:is>
          <x:t xml:space="preserve">图片上传→质量判断→风险分层→相似病例展示→标准解析→答题反馈→推荐下一题。</x:t>
        </x:is>
      </x:c>
    </x:row>
    <x:row r="8">
      <x:c r="A8" s="2" t="inlineStr">
        <x:is>
          <x:t xml:space="preserve">病例主表新增规则</x:t>
        </x:is>
      </x:c>
      <x:c r="B8" s="3" t="inlineStr">
        <x:is>
          <x:t xml:space="preserve">后续新增图片时，每张图片一行；若同一病例有多张图，建议共享同一个 case_id，不同 image_id。</x:t>
        </x:is>
      </x:c>
    </x:row>
    <x:row r="9">
      <x:c r="A9" s="2" t="inlineStr">
        <x:is>
          <x:t xml:space="preserve">字段补齐优先级</x:t>
        </x:is>
      </x:c>
      <x:c r="B9" s="3" t="inlineStr">
        <x:is>
          <x:t xml:space="preserve">优先补 case_id、relative_path、symptom_keywords、pathology_confirmed、final_confirmed_diagnosis。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0" customWidth="1"/>
    <x:col min="3" max="3" width="16" customWidth="1"/>
    <x:col min="4" max="4" width="42" customWidth="1"/>
  </x:cols>
  <x:sheetData>
    <x:row r="1">
      <x:c r="A1" s="1" t="inlineStr">
        <x:is>
          <x:t xml:space="preserve">字段名</x:t>
        </x:is>
      </x:c>
      <x:c r="B1" s="1" t="inlineStr">
        <x:is>
          <x:t xml:space="preserve">含义</x:t>
        </x:is>
      </x:c>
      <x:c r="C1" s="1" t="inlineStr">
        <x:is>
          <x:t xml:space="preserve">类型</x:t>
        </x:is>
      </x:c>
      <x:c r="D1" s="1" t="inlineStr">
        <x:is>
          <x:t xml:space="preserve">维护说明</x:t>
        </x:is>
      </x:c>
    </x:row>
    <x:row r="2">
      <x:c r="A2" t="inlineStr">
        <x:is>
          <x:t xml:space="preserve">case_id</x:t>
        </x:is>
      </x:c>
      <x:c r="B2" s="3" t="inlineStr">
        <x:is>
          <x:t xml:space="preserve">病例唯一编号</x:t>
        </x:is>
      </x:c>
      <x:c r="C2" t="inlineStr">
        <x:is>
          <x:t xml:space="preserve">文本</x:t>
        </x:is>
      </x:c>
      <x:c r="D2" s="3" t="inlineStr">
        <x:is>
          <x:t xml:space="preserve">同一病例多张图可共用同一 case_id</x:t>
        </x:is>
      </x:c>
    </x:row>
    <x:row r="3">
      <x:c r="A3" t="inlineStr">
        <x:is>
          <x:t xml:space="preserve">image_id</x:t>
        </x:is>
      </x:c>
      <x:c r="B3" s="3" t="inlineStr">
        <x:is>
          <x:t xml:space="preserve">图片唯一编号</x:t>
        </x:is>
      </x:c>
      <x:c r="C3" t="inlineStr">
        <x:is>
          <x:t xml:space="preserve">数字</x:t>
        </x:is>
      </x:c>
      <x:c r="D3" s="3" t="inlineStr">
        <x:is>
          <x:t xml:space="preserve">每张图片唯一</x:t>
        </x:is>
      </x:c>
    </x:row>
    <x:row r="4">
      <x:c r="A4" t="inlineStr">
        <x:is>
          <x:t xml:space="preserve">patient_id_anon</x:t>
        </x:is>
      </x:c>
      <x:c r="B4" s="3" t="inlineStr">
        <x:is>
          <x:t xml:space="preserve">匿名患者编号</x:t>
        </x:is>
      </x:c>
      <x:c r="C4" t="inlineStr">
        <x:is>
          <x:t xml:space="preserve">文本</x:t>
        </x:is>
      </x:c>
      <x:c r="D4" s="3" t="inlineStr">
        <x:is>
          <x:t xml:space="preserve">去标识化后的患者编号</x:t>
        </x:is>
      </x:c>
    </x:row>
    <x:row r="5">
      <x:c r="A5" t="inlineStr">
        <x:is>
          <x:t xml:space="preserve">file_name</x:t>
        </x:is>
      </x:c>
      <x:c r="B5" s="3" t="inlineStr">
        <x:is>
          <x:t xml:space="preserve">图片文件名</x:t>
        </x:is>
      </x:c>
      <x:c r="C5" t="inlineStr">
        <x:is>
          <x:t xml:space="preserve">文本</x:t>
        </x:is>
      </x:c>
      <x:c r="D5" s="3" t="inlineStr">
        <x:is>
          <x:t xml:space="preserve">必须与实际文件名一致</x:t>
        </x:is>
      </x:c>
    </x:row>
    <x:row r="6">
      <x:c r="A6" t="inlineStr">
        <x:is>
          <x:t xml:space="preserve">relative_path</x:t>
        </x:is>
      </x:c>
      <x:c r="B6" s="3" t="inlineStr">
        <x:is>
          <x:t xml:space="preserve">图片相对路径</x:t>
        </x:is>
      </x:c>
      <x:c r="C6" t="inlineStr">
        <x:is>
          <x:t xml:space="preserve">文本</x:t>
        </x:is>
      </x:c>
      <x:c r="D6" s="3" t="inlineStr">
        <x:is>
          <x:t xml:space="preserve">建议统一为 ./images/文件名</x:t>
        </x:is>
      </x:c>
    </x:row>
    <x:row r="7">
      <x:c r="A7" t="inlineStr">
        <x:is>
          <x:t xml:space="preserve">source_batch</x:t>
        </x:is>
      </x:c>
      <x:c r="B7" s="3" t="inlineStr">
        <x:is>
          <x:t xml:space="preserve">批次来源</x:t>
        </x:is>
      </x:c>
      <x:c r="C7" t="inlineStr">
        <x:is>
          <x:t xml:space="preserve">文本</x:t>
        </x:is>
      </x:c>
      <x:c r="D7" s="3" t="inlineStr">
        <x:is>
          <x:t xml:space="preserve">例如 皮蛋_种子病例库_v1</x:t>
        </x:is>
      </x:c>
    </x:row>
    <x:row r="8">
      <x:c r="A8" t="inlineStr">
        <x:is>
          <x:t xml:space="preserve">original_group</x:t>
        </x:is>
      </x:c>
      <x:c r="B8" s="3" t="inlineStr">
        <x:is>
          <x:t xml:space="preserve">用户原始分组</x:t>
        </x:is>
      </x:c>
      <x:c r="C8" t="inlineStr">
        <x:is>
          <x:t xml:space="preserve">枚举</x:t>
        </x:is>
      </x:c>
      <x:c r="D8" s="3" t="inlineStr">
        <x:is>
          <x:t xml:space="preserve">当前用于追溯最初分组</x:t>
        </x:is>
      </x:c>
    </x:row>
    <x:row r="9">
      <x:c r="A9" t="inlineStr">
        <x:is>
          <x:t xml:space="preserve">use_tag</x:t>
        </x:is>
      </x:c>
      <x:c r="B9" s="3" t="inlineStr">
        <x:is>
          <x:t xml:space="preserve">样本用途标签</x:t>
        </x:is>
      </x:c>
      <x:c r="C9" t="inlineStr">
        <x:is>
          <x:t xml:space="preserve">枚举</x:t>
        </x:is>
      </x:c>
      <x:c r="D9" s="3" t="inlineStr">
        <x:is>
          <x:t xml:space="preserve">典型图/易混淆图/危险图/差质量图</x:t>
        </x:is>
      </x:c>
    </x:row>
    <x:row r="10">
      <x:c r="A10" t="inlineStr">
        <x:is>
          <x:t xml:space="preserve">disease_level1</x:t>
        </x:is>
      </x:c>
      <x:c r="B10" s="3" t="inlineStr">
        <x:is>
          <x:t xml:space="preserve">一级疾病分类</x:t>
        </x:is>
      </x:c>
      <x:c r="C10" t="inlineStr">
        <x:is>
          <x:t xml:space="preserve">枚举</x:t>
        </x:is>
      </x:c>
      <x:c r="D10" s="3" t="inlineStr">
        <x:is>
          <x:t xml:space="preserve">炎症性皮肤病/肿瘤性皮肤病</x:t>
        </x:is>
      </x:c>
    </x:row>
    <x:row r="11">
      <x:c r="A11" t="inlineStr">
        <x:is>
          <x:t xml:space="preserve">disease_level2</x:t>
        </x:is>
      </x:c>
      <x:c r="B11" s="3" t="inlineStr">
        <x:is>
          <x:t xml:space="preserve">二级疾病分类</x:t>
        </x:is>
      </x:c>
      <x:c r="C11" t="inlineStr">
        <x:is>
          <x:t xml:space="preserve">枚举</x:t>
        </x:is>
      </x:c>
      <x:c r="D11" s="3" t="inlineStr">
        <x:is>
          <x:t xml:space="preserve">本批为 5 个核心病种</x:t>
        </x:is>
      </x:c>
    </x:row>
    <x:row r="12">
      <x:c r="A12" t="inlineStr">
        <x:is>
          <x:t xml:space="preserve">working_label</x:t>
        </x:is>
      </x:c>
      <x:c r="B12" s="3" t="inlineStr">
        <x:is>
          <x:t xml:space="preserve">当前工作标签</x:t>
        </x:is>
      </x:c>
      <x:c r="C12" t="inlineStr">
        <x:is>
          <x:t xml:space="preserve">文本</x:t>
        </x:is>
      </x:c>
      <x:c r="D12" s="3" t="inlineStr">
        <x:is>
          <x:t xml:space="preserve">系统启动时使用</x:t>
        </x:is>
      </x:c>
    </x:row>
    <x:row r="13">
      <x:c r="A13" t="inlineStr">
        <x:is>
          <x:t xml:space="preserve">final_confirmed_diagnosis</x:t>
        </x:is>
      </x:c>
      <x:c r="B13" s="3" t="inlineStr">
        <x:is>
          <x:t xml:space="preserve">最终确认诊断</x:t>
        </x:is>
      </x:c>
      <x:c r="C13" t="inlineStr">
        <x:is>
          <x:t xml:space="preserve">文本</x:t>
        </x:is>
      </x:c>
      <x:c r="D13" s="3" t="inlineStr">
        <x:is>
          <x:t xml:space="preserve">待医生终审后更新</x:t>
        </x:is>
      </x:c>
    </x:row>
    <x:row r="14">
      <x:c r="A14" t="inlineStr">
        <x:is>
          <x:t xml:space="preserve">diagnosis_status</x:t>
        </x:is>
      </x:c>
      <x:c r="B14" s="3" t="inlineStr">
        <x:is>
          <x:t xml:space="preserve">标签状态</x:t>
        </x:is>
      </x:c>
      <x:c r="C14" t="inlineStr">
        <x:is>
          <x:t xml:space="preserve">枚举</x:t>
        </x:is>
      </x:c>
      <x:c r="D14" s="3" t="inlineStr">
        <x:is>
          <x:t xml:space="preserve">工作标签-可先用于系统/待终审等</x:t>
        </x:is>
      </x:c>
    </x:row>
    <x:row r="15">
      <x:c r="A15" t="inlineStr">
        <x:is>
          <x:t xml:space="preserve">pathology_confirmed</x:t>
        </x:is>
      </x:c>
      <x:c r="B15" s="3" t="inlineStr">
        <x:is>
          <x:t xml:space="preserve">是否病理证实</x:t>
        </x:is>
      </x:c>
      <x:c r="C15" t="inlineStr">
        <x:is>
          <x:t xml:space="preserve">枚举</x:t>
        </x:is>
      </x:c>
      <x:c r="D15" s="3" t="inlineStr">
        <x:is>
          <x:t xml:space="preserve">是/否/未知</x:t>
        </x:is>
      </x:c>
    </x:row>
    <x:row r="16">
      <x:c r="A16" t="inlineStr">
        <x:is>
          <x:t xml:space="preserve">body_site</x:t>
        </x:is>
      </x:c>
      <x:c r="B16" s="3" t="inlineStr">
        <x:is>
          <x:t xml:space="preserve">拍摄部位</x:t>
        </x:is>
      </x:c>
      <x:c r="C16" t="inlineStr">
        <x:is>
          <x:t xml:space="preserve">文本</x:t>
        </x:is>
      </x:c>
      <x:c r="D16" s="3" t="inlineStr">
        <x:is>
          <x:t xml:space="preserve">例如 面部/下肢/足底</x:t>
        </x:is>
      </x:c>
    </x:row>
    <x:row r="17">
      <x:c r="A17" t="inlineStr">
        <x:is>
          <x:t xml:space="preserve">image_type</x:t>
        </x:is>
      </x:c>
      <x:c r="B17" s="3" t="inlineStr">
        <x:is>
          <x:t xml:space="preserve">图像类型</x:t>
        </x:is>
      </x:c>
      <x:c r="C17" t="inlineStr">
        <x:is>
          <x:t xml:space="preserve">枚举</x:t>
        </x:is>
      </x:c>
      <x:c r="D17" s="3" t="inlineStr">
        <x:is>
          <x:t xml:space="preserve">大体图像/皮镜图像/局部近景</x:t>
        </x:is>
      </x:c>
    </x:row>
    <x:row r="18">
      <x:c r="A18" t="inlineStr">
        <x:is>
          <x:t xml:space="preserve">image_quality</x:t>
        </x:is>
      </x:c>
      <x:c r="B18" s="3" t="inlineStr">
        <x:is>
          <x:t xml:space="preserve">图像质量</x:t>
        </x:is>
      </x:c>
      <x:c r="C18" t="inlineStr">
        <x:is>
          <x:t xml:space="preserve">枚举</x:t>
        </x:is>
      </x:c>
      <x:c r="D18" s="3" t="inlineStr">
        <x:is>
          <x:t xml:space="preserve">好/一般/差</x:t>
        </x:is>
      </x:c>
    </x:row>
    <x:row r="19">
      <x:c r="A19" t="inlineStr">
        <x:is>
          <x:t xml:space="preserve">is_typical_case</x:t>
        </x:is>
      </x:c>
      <x:c r="B19" s="3" t="inlineStr">
        <x:is>
          <x:t xml:space="preserve">是否典型</x:t>
        </x:is>
      </x:c>
      <x:c r="C19" t="inlineStr">
        <x:is>
          <x:t xml:space="preserve">枚举</x:t>
        </x:is>
      </x:c>
      <x:c r="D19" s="3" t="inlineStr">
        <x:is>
          <x:t xml:space="preserve">是/否</x:t>
        </x:is>
      </x:c>
    </x:row>
    <x:row r="20">
      <x:c r="A20" t="inlineStr">
        <x:is>
          <x:t xml:space="preserve">danger_signal</x:t>
        </x:is>
      </x:c>
      <x:c r="B20" s="3" t="inlineStr">
        <x:is>
          <x:t xml:space="preserve">是否危险信号</x:t>
        </x:is>
      </x:c>
      <x:c r="C20" t="inlineStr">
        <x:is>
          <x:t xml:space="preserve">枚举</x:t>
        </x:is>
      </x:c>
      <x:c r="D20" s="3" t="inlineStr">
        <x:is>
          <x:t xml:space="preserve">有/无</x:t>
        </x:is>
      </x:c>
    </x:row>
    <x:row r="21">
      <x:c r="A21" t="inlineStr">
        <x:is>
          <x:t xml:space="preserve">referral_level</x:t>
        </x:is>
      </x:c>
      <x:c r="B21" s="3" t="inlineStr">
        <x:is>
          <x:t xml:space="preserve">转诊级别</x:t>
        </x:is>
      </x:c>
      <x:c r="C21" t="inlineStr">
        <x:is>
          <x:t xml:space="preserve">枚举</x:t>
        </x:is>
      </x:c>
      <x:c r="D21" s="3" t="inlineStr">
        <x:is>
          <x:t xml:space="preserve">观察/普通转诊/尽快转诊/紧急</x:t>
        </x:is>
      </x:c>
    </x:row>
    <x:row r="22">
      <x:c r="A22" t="inlineStr">
        <x:is>
          <x:t xml:space="preserve">suspected_diagnosis_1</x:t>
        </x:is>
      </x:c>
      <x:c r="B22" s="3" t="inlineStr">
        <x:is>
          <x:t xml:space="preserve">最可能诊断</x:t>
        </x:is>
      </x:c>
      <x:c r="C22" t="inlineStr">
        <x:is>
          <x:t xml:space="preserve">文本</x:t>
        </x:is>
      </x:c>
      <x:c r="D22" s="3" t="inlineStr">
        <x:is>
          <x:t xml:space="preserve">教学/答题首选项</x:t>
        </x:is>
      </x:c>
    </x:row>
    <x:row r="23">
      <x:c r="A23" t="inlineStr">
        <x:is>
          <x:t xml:space="preserve">suspected_diagnosis_2</x:t>
        </x:is>
      </x:c>
      <x:c r="B23" s="3" t="inlineStr">
        <x:is>
          <x:t xml:space="preserve">第二可能诊断</x:t>
        </x:is>
      </x:c>
      <x:c r="C23" t="inlineStr">
        <x:is>
          <x:t xml:space="preserve">文本</x:t>
        </x:is>
      </x:c>
      <x:c r="D23" s="3" t="inlineStr">
        <x:is>
          <x:t xml:space="preserve">用于鉴别训练</x:t>
        </x:is>
      </x:c>
    </x:row>
    <x:row r="24">
      <x:c r="A24" t="inlineStr">
        <x:is>
          <x:t xml:space="preserve">common_misdiagnosis</x:t>
        </x:is>
      </x:c>
      <x:c r="B24" s="3" t="inlineStr">
        <x:is>
          <x:t xml:space="preserve">常见误判</x:t>
        </x:is>
      </x:c>
      <x:c r="C24" t="inlineStr">
        <x:is>
          <x:t xml:space="preserve">文本</x:t>
        </x:is>
      </x:c>
      <x:c r="D24" s="3" t="inlineStr">
        <x:is>
          <x:t xml:space="preserve">用于教学反馈</x:t>
        </x:is>
      </x:c>
    </x:row>
    <x:row r="25">
      <x:c r="A25" t="inlineStr">
        <x:is>
          <x:t xml:space="preserve">symptom_keywords</x:t>
        </x:is>
      </x:c>
      <x:c r="B25" s="3" t="inlineStr">
        <x:is>
          <x:t xml:space="preserve">症状或形态关键词</x:t>
        </x:is>
      </x:c>
      <x:c r="C25" t="inlineStr">
        <x:is>
          <x:t xml:space="preserve">文本</x:t>
        </x:is>
      </x:c>
      <x:c r="D25" s="3" t="inlineStr">
        <x:is>
          <x:t xml:space="preserve">便于检索与病例召回</x:t>
        </x:is>
      </x:c>
    </x:row>
    <x:row r="26">
      <x:c r="A26" t="inlineStr">
        <x:is>
          <x:t xml:space="preserve">teaching_point</x:t>
        </x:is>
      </x:c>
      <x:c r="B26" s="3" t="inlineStr">
        <x:is>
          <x:t xml:space="preserve">教学点</x:t>
        </x:is>
      </x:c>
      <x:c r="C26" t="inlineStr">
        <x:is>
          <x:t xml:space="preserve">长文本</x:t>
        </x:is>
      </x:c>
      <x:c r="D26" s="3" t="inlineStr">
        <x:is>
          <x:t xml:space="preserve">这张图最想教会村医什么</x:t>
        </x:is>
      </x:c>
    </x:row>
    <x:row r="27">
      <x:c r="A27" t="inlineStr">
        <x:is>
          <x:t xml:space="preserve">gold_explanation</x:t>
        </x:is>
      </x:c>
      <x:c r="B27" s="3" t="inlineStr">
        <x:is>
          <x:t xml:space="preserve">标准解析</x:t>
        </x:is>
      </x:c>
      <x:c r="C27" t="inlineStr">
        <x:is>
          <x:t xml:space="preserve">长文本</x:t>
        </x:is>
      </x:c>
      <x:c r="D27" s="3" t="inlineStr">
        <x:is>
          <x:t xml:space="preserve">系统展示给村医的答案说明</x:t>
        </x:is>
      </x:c>
    </x:row>
    <x:row r="28">
      <x:c r="A28" t="inlineStr">
        <x:is>
          <x:t xml:space="preserve">usable_for_quiz</x:t>
        </x:is>
      </x:c>
      <x:c r="B28" s="3" t="inlineStr">
        <x:is>
          <x:t xml:space="preserve">是否可出题</x:t>
        </x:is>
      </x:c>
      <x:c r="C28" t="inlineStr">
        <x:is>
          <x:t xml:space="preserve">枚举</x:t>
        </x:is>
      </x:c>
      <x:c r="D28" s="3" t="inlineStr">
        <x:is>
          <x:t xml:space="preserve">是/否</x:t>
        </x:is>
      </x:c>
    </x:row>
    <x:row r="29">
      <x:c r="A29" t="inlineStr">
        <x:is>
          <x:t xml:space="preserve">village_doctor_level</x:t>
        </x:is>
      </x:c>
      <x:c r="B29" s="3" t="inlineStr">
        <x:is>
          <x:t xml:space="preserve">适配村医级别</x:t>
        </x:is>
      </x:c>
      <x:c r="C29" t="inlineStr">
        <x:is>
          <x:t xml:space="preserve">枚举</x:t>
        </x:is>
      </x:c>
      <x:c r="D29" s="3" t="inlineStr">
        <x:is>
          <x:t xml:space="preserve">初级/中级/高级</x:t>
        </x:is>
      </x:c>
    </x:row>
    <x:row r="30">
      <x:c r="A30" t="inlineStr">
        <x:is>
          <x:t xml:space="preserve">urgency_score</x:t>
        </x:is>
      </x:c>
      <x:c r="B30" s="3" t="inlineStr">
        <x:is>
          <x:t xml:space="preserve">紧急分数</x:t>
        </x:is>
      </x:c>
      <x:c r="C30" t="inlineStr">
        <x:is>
          <x:t xml:space="preserve">公式</x:t>
        </x:is>
      </x:c>
      <x:c r="D30" s="3" t="inlineStr">
        <x:is>
          <x:t xml:space="preserve">1-4；越高越应优先展示</x:t>
        </x:is>
      </x:c>
    </x:row>
    <x:row r="31">
      <x:c r="A31" t="inlineStr">
        <x:is>
          <x:t xml:space="preserve">split_suggestion</x:t>
        </x:is>
      </x:c>
      <x:c r="B31" s="3" t="inlineStr">
        <x:is>
          <x:t xml:space="preserve">数据池建议</x:t>
        </x:is>
      </x:c>
      <x:c r="C31" t="inlineStr">
        <x:is>
          <x:t xml:space="preserve">公式</x:t>
        </x:is>
      </x:c>
      <x:c r="D31" s="3" t="inlineStr">
        <x:is>
          <x:t xml:space="preserve">train_core/train_expand/review</x:t>
        </x:is>
      </x:c>
    </x:row>
    <x:row r="32">
      <x:c r="A32" t="inlineStr">
        <x:is>
          <x:t xml:space="preserve">system_priority</x:t>
        </x:is>
      </x:c>
      <x:c r="B32" s="3" t="inlineStr">
        <x:is>
          <x:t xml:space="preserve">系统优先级</x:t>
        </x:is>
      </x:c>
      <x:c r="C32" t="inlineStr">
        <x:is>
          <x:t xml:space="preserve">公式</x:t>
        </x:is>
      </x:c>
      <x:c r="D32" s="3" t="inlineStr">
        <x:is>
          <x:t xml:space="preserve">P1/P2/P3</x:t>
        </x:is>
      </x:c>
    </x:row>
    <x:row r="33">
      <x:c r="A33" t="inlineStr">
        <x:is>
          <x:t xml:space="preserve">note</x:t>
        </x:is>
      </x:c>
      <x:c r="B33" s="3" t="inlineStr">
        <x:is>
          <x:t xml:space="preserve">备注</x:t>
        </x:is>
      </x:c>
      <x:c r="C33" t="inlineStr">
        <x:is>
          <x:t xml:space="preserve">长文本</x:t>
        </x:is>
      </x:c>
      <x:c r="D33" s="3" t="inlineStr">
        <x:is>
          <x:t xml:space="preserve">补充说明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4" customWidth="1"/>
  </x:cols>
  <x:sheetData>
    <x:row r="1">
      <x:c r="A1" s="1" t="inlineStr">
        <x:is>
          <x:t xml:space="preserve">字段</x:t>
        </x:is>
      </x:c>
      <x:c r="B1" s="1" t="inlineStr">
        <x:is>
          <x:t xml:space="preserve">可选值</x:t>
        </x:is>
      </x:c>
    </x:row>
    <x:row r="2">
      <x:c r="A2" t="inlineStr">
        <x:is>
          <x:t xml:space="preserve">use_tag</x:t>
        </x:is>
      </x:c>
      <x:c r="B2" t="inlineStr">
        <x:is>
          <x:t xml:space="preserve">典型图</x:t>
        </x:is>
      </x:c>
    </x:row>
    <x:row r="3">
      <x:c r="A3" t="inlineStr">
        <x:is>
          <x:t xml:space="preserve">use_tag</x:t>
        </x:is>
      </x:c>
      <x:c r="B3" t="inlineStr">
        <x:is>
          <x:t xml:space="preserve">易混淆图</x:t>
        </x:is>
      </x:c>
    </x:row>
    <x:row r="4">
      <x:c r="A4" t="inlineStr">
        <x:is>
          <x:t xml:space="preserve">use_tag</x:t>
        </x:is>
      </x:c>
      <x:c r="B4" t="inlineStr">
        <x:is>
          <x:t xml:space="preserve">危险图</x:t>
        </x:is>
      </x:c>
    </x:row>
    <x:row r="5">
      <x:c r="A5" t="inlineStr">
        <x:is>
          <x:t xml:space="preserve">use_tag</x:t>
        </x:is>
      </x:c>
      <x:c r="B5" t="inlineStr">
        <x:is>
          <x:t xml:space="preserve">差质量图</x:t>
        </x:is>
      </x:c>
    </x:row>
    <x:row r="6">
      <x:c r="A6" t="inlineStr">
        <x:is>
          <x:t xml:space="preserve">disease_level1</x:t>
        </x:is>
      </x:c>
      <x:c r="B6" t="inlineStr">
        <x:is>
          <x:t xml:space="preserve">炎症性皮肤病</x:t>
        </x:is>
      </x:c>
    </x:row>
    <x:row r="7">
      <x:c r="A7" t="inlineStr">
        <x:is>
          <x:t xml:space="preserve">disease_level1</x:t>
        </x:is>
      </x:c>
      <x:c r="B7" t="inlineStr">
        <x:is>
          <x:t xml:space="preserve">肿瘤性皮肤病</x:t>
        </x:is>
      </x:c>
    </x:row>
    <x:row r="8">
      <x:c r="A8" t="inlineStr">
        <x:is>
          <x:t xml:space="preserve">disease_level2</x:t>
        </x:is>
      </x:c>
      <x:c r="B8" t="inlineStr">
        <x:is>
          <x:t xml:space="preserve">银屑病</x:t>
        </x:is>
      </x:c>
    </x:row>
    <x:row r="9">
      <x:c r="A9" t="inlineStr">
        <x:is>
          <x:t xml:space="preserve">disease_level2</x:t>
        </x:is>
      </x:c>
      <x:c r="B9" t="inlineStr">
        <x:is>
          <x:t xml:space="preserve">湿疹</x:t>
        </x:is>
      </x:c>
    </x:row>
    <x:row r="10">
      <x:c r="A10" t="inlineStr">
        <x:is>
          <x:t xml:space="preserve">disease_level2</x:t>
        </x:is>
      </x:c>
      <x:c r="B10" t="inlineStr">
        <x:is>
          <x:t xml:space="preserve">玫瑰糠疹</x:t>
        </x:is>
      </x:c>
    </x:row>
    <x:row r="11">
      <x:c r="A11" t="inlineStr">
        <x:is>
          <x:t xml:space="preserve">disease_level2</x:t>
        </x:is>
      </x:c>
      <x:c r="B11" t="inlineStr">
        <x:is>
          <x:t xml:space="preserve">脂溢性皮炎</x:t>
        </x:is>
      </x:c>
    </x:row>
    <x:row r="12">
      <x:c r="A12" t="inlineStr">
        <x:is>
          <x:t xml:space="preserve">disease_level2</x:t>
        </x:is>
      </x:c>
      <x:c r="B12" t="inlineStr">
        <x:is>
          <x:t xml:space="preserve">黑色素瘤</x:t>
        </x:is>
      </x:c>
    </x:row>
    <x:row r="13">
      <x:c r="A13" t="inlineStr">
        <x:is>
          <x:t xml:space="preserve">image_type</x:t>
        </x:is>
      </x:c>
      <x:c r="B13" t="inlineStr">
        <x:is>
          <x:t xml:space="preserve">大体图像</x:t>
        </x:is>
      </x:c>
    </x:row>
    <x:row r="14">
      <x:c r="A14" t="inlineStr">
        <x:is>
          <x:t xml:space="preserve">image_type</x:t>
        </x:is>
      </x:c>
      <x:c r="B14" t="inlineStr">
        <x:is>
          <x:t xml:space="preserve">皮镜图像</x:t>
        </x:is>
      </x:c>
    </x:row>
    <x:row r="15">
      <x:c r="A15" t="inlineStr">
        <x:is>
          <x:t xml:space="preserve">image_type</x:t>
        </x:is>
      </x:c>
      <x:c r="B15" t="inlineStr">
        <x:is>
          <x:t xml:space="preserve">局部近景</x:t>
        </x:is>
      </x:c>
    </x:row>
    <x:row r="16">
      <x:c r="A16" t="inlineStr">
        <x:is>
          <x:t xml:space="preserve">image_quality</x:t>
        </x:is>
      </x:c>
      <x:c r="B16" t="inlineStr">
        <x:is>
          <x:t xml:space="preserve">好</x:t>
        </x:is>
      </x:c>
    </x:row>
    <x:row r="17">
      <x:c r="A17" t="inlineStr">
        <x:is>
          <x:t xml:space="preserve">image_quality</x:t>
        </x:is>
      </x:c>
      <x:c r="B17" t="inlineStr">
        <x:is>
          <x:t xml:space="preserve">一般</x:t>
        </x:is>
      </x:c>
    </x:row>
    <x:row r="18">
      <x:c r="A18" t="inlineStr">
        <x:is>
          <x:t xml:space="preserve">image_quality</x:t>
        </x:is>
      </x:c>
      <x:c r="B18" t="inlineStr">
        <x:is>
          <x:t xml:space="preserve">差</x:t>
        </x:is>
      </x:c>
    </x:row>
    <x:row r="19">
      <x:c r="A19" t="inlineStr">
        <x:is>
          <x:t xml:space="preserve">is_typical_case</x:t>
        </x:is>
      </x:c>
      <x:c r="B19" t="inlineStr">
        <x:is>
          <x:t xml:space="preserve">是</x:t>
        </x:is>
      </x:c>
    </x:row>
    <x:row r="20">
      <x:c r="A20" t="inlineStr">
        <x:is>
          <x:t xml:space="preserve">is_typical_case</x:t>
        </x:is>
      </x:c>
      <x:c r="B20" t="inlineStr">
        <x:is>
          <x:t xml:space="preserve">否</x:t>
        </x:is>
      </x:c>
    </x:row>
    <x:row r="21">
      <x:c r="A21" t="inlineStr">
        <x:is>
          <x:t xml:space="preserve">danger_signal</x:t>
        </x:is>
      </x:c>
      <x:c r="B21" t="inlineStr">
        <x:is>
          <x:t xml:space="preserve">有</x:t>
        </x:is>
      </x:c>
    </x:row>
    <x:row r="22">
      <x:c r="A22" t="inlineStr">
        <x:is>
          <x:t xml:space="preserve">danger_signal</x:t>
        </x:is>
      </x:c>
      <x:c r="B22" t="inlineStr">
        <x:is>
          <x:t xml:space="preserve">无</x:t>
        </x:is>
      </x:c>
    </x:row>
    <x:row r="23">
      <x:c r="A23" t="inlineStr">
        <x:is>
          <x:t xml:space="preserve">referral_level</x:t>
        </x:is>
      </x:c>
      <x:c r="B23" t="inlineStr">
        <x:is>
          <x:t xml:space="preserve">观察</x:t>
        </x:is>
      </x:c>
    </x:row>
    <x:row r="24">
      <x:c r="A24" t="inlineStr">
        <x:is>
          <x:t xml:space="preserve">referral_level</x:t>
        </x:is>
      </x:c>
      <x:c r="B24" t="inlineStr">
        <x:is>
          <x:t xml:space="preserve">普通转诊</x:t>
        </x:is>
      </x:c>
    </x:row>
    <x:row r="25">
      <x:c r="A25" t="inlineStr">
        <x:is>
          <x:t xml:space="preserve">referral_level</x:t>
        </x:is>
      </x:c>
      <x:c r="B25" t="inlineStr">
        <x:is>
          <x:t xml:space="preserve">尽快转诊</x:t>
        </x:is>
      </x:c>
    </x:row>
    <x:row r="26">
      <x:c r="A26" t="inlineStr">
        <x:is>
          <x:t xml:space="preserve">referral_level</x:t>
        </x:is>
      </x:c>
      <x:c r="B26" t="inlineStr">
        <x:is>
          <x:t xml:space="preserve">紧急</x:t>
        </x:is>
      </x:c>
    </x:row>
    <x:row r="27">
      <x:c r="A27" t="inlineStr">
        <x:is>
          <x:t xml:space="preserve">pathology_confirmed</x:t>
        </x:is>
      </x:c>
      <x:c r="B27" t="inlineStr">
        <x:is>
          <x:t xml:space="preserve">是</x:t>
        </x:is>
      </x:c>
    </x:row>
    <x:row r="28">
      <x:c r="A28" t="inlineStr">
        <x:is>
          <x:t xml:space="preserve">pathology_confirmed</x:t>
        </x:is>
      </x:c>
      <x:c r="B28" t="inlineStr">
        <x:is>
          <x:t xml:space="preserve">否</x:t>
        </x:is>
      </x:c>
    </x:row>
    <x:row r="29">
      <x:c r="A29" t="inlineStr">
        <x:is>
          <x:t xml:space="preserve">pathology_confirmed</x:t>
        </x:is>
      </x:c>
      <x:c r="B29" t="inlineStr">
        <x:is>
          <x:t xml:space="preserve">未知</x:t>
        </x:is>
      </x:c>
    </x:row>
    <x:row r="30">
      <x:c r="A30" t="inlineStr">
        <x:is>
          <x:t xml:space="preserve">usable_for_quiz</x:t>
        </x:is>
      </x:c>
      <x:c r="B30" t="inlineStr">
        <x:is>
          <x:t xml:space="preserve">是</x:t>
        </x:is>
      </x:c>
    </x:row>
    <x:row r="31">
      <x:c r="A31" t="inlineStr">
        <x:is>
          <x:t xml:space="preserve">usable_for_quiz</x:t>
        </x:is>
      </x:c>
      <x:c r="B31" t="inlineStr">
        <x:is>
          <x:t xml:space="preserve">否</x:t>
        </x:is>
      </x:c>
    </x:row>
    <x:row r="32">
      <x:c r="A32" t="inlineStr">
        <x:is>
          <x:t xml:space="preserve">village_doctor_level</x:t>
        </x:is>
      </x:c>
      <x:c r="B32" t="inlineStr">
        <x:is>
          <x:t xml:space="preserve">初级</x:t>
        </x:is>
      </x:c>
    </x:row>
    <x:row r="33">
      <x:c r="A33" t="inlineStr">
        <x:is>
          <x:t xml:space="preserve">village_doctor_level</x:t>
        </x:is>
      </x:c>
      <x:c r="B33" t="inlineStr">
        <x:is>
          <x:t xml:space="preserve">中级</x:t>
        </x:is>
      </x:c>
    </x:row>
    <x:row r="34">
      <x:c r="A34" t="inlineStr">
        <x:is>
          <x:t xml:space="preserve">village_doctor_level</x:t>
        </x:is>
      </x:c>
      <x:c r="B34" t="inlineStr">
        <x:is>
          <x:t xml:space="preserve">高级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9" customWidth="1"/>
    <x:col min="3" max="3" width="14" customWidth="1"/>
    <x:col min="4" max="4" width="34" customWidth="1"/>
    <x:col min="5" max="5" width="34" customWidth="1"/>
    <x:col min="6" max="6" width="18" customWidth="1"/>
    <x:col min="7" max="7" width="14" customWidth="1"/>
    <x:col min="8" max="8" width="12" customWidth="1"/>
    <x:col min="9" max="9" width="16" customWidth="1"/>
    <x:col min="10" max="10" width="14" customWidth="1"/>
    <x:col min="11" max="11" width="14" customWidth="1"/>
    <x:col min="12" max="12" width="16" customWidth="1"/>
    <x:col min="13" max="13" width="20" customWidth="1"/>
    <x:col min="14" max="14" width="12" customWidth="1"/>
    <x:col min="15" max="15" width="18" customWidth="1"/>
    <x:col min="16" max="16" width="14" customWidth="1"/>
    <x:col min="17" max="17" width="10" customWidth="1"/>
    <x:col min="18" max="18" width="10" customWidth="1"/>
    <x:col min="19" max="19" width="10" customWidth="1"/>
    <x:col min="20" max="20" width="12" customWidth="1"/>
    <x:col min="21" max="21" width="16" customWidth="1"/>
    <x:col min="22" max="22" width="18" customWidth="1"/>
    <x:col min="23" max="23" width="20" customWidth="1"/>
    <x:col min="24" max="24" width="28" customWidth="1"/>
    <x:col min="25" max="25" width="42" customWidth="1"/>
    <x:col min="26" max="26" width="58" customWidth="1"/>
    <x:col min="27" max="27" width="10" customWidth="1"/>
    <x:col min="28" max="28" width="12" customWidth="1"/>
    <x:col min="29" max="29" width="10" customWidth="1"/>
    <x:col min="30" max="30" width="14" customWidth="1"/>
    <x:col min="31" max="31" width="10" customWidth="1"/>
  </x:cols>
  <x:sheetData>
    <x:row r="1">
      <x:c r="A1" s="4" t="inlineStr">
        <x:is>
          <x:t xml:space="preserve">case_id</x:t>
        </x:is>
      </x:c>
      <x:c r="B1" s="4" t="inlineStr">
        <x:is>
          <x:t xml:space="preserve">image_id</x:t>
        </x:is>
      </x:c>
      <x:c r="C1" s="4" t="inlineStr">
        <x:is>
          <x:t xml:space="preserve">patient_id_anon</x:t>
        </x:is>
      </x:c>
      <x:c r="D1" s="4" t="inlineStr">
        <x:is>
          <x:t xml:space="preserve">file_name</x:t>
        </x:is>
      </x:c>
      <x:c r="E1" s="4" t="inlineStr">
        <x:is>
          <x:t xml:space="preserve">relative_path</x:t>
        </x:is>
      </x:c>
      <x:c r="F1" s="4" t="inlineStr">
        <x:is>
          <x:t xml:space="preserve">source_batch</x:t>
        </x:is>
      </x:c>
      <x:c r="G1" s="4" t="inlineStr">
        <x:is>
          <x:t xml:space="preserve">original_group</x:t>
        </x:is>
      </x:c>
      <x:c r="H1" s="4" t="inlineStr">
        <x:is>
          <x:t xml:space="preserve">use_tag</x:t>
        </x:is>
      </x:c>
      <x:c r="I1" s="4" t="inlineStr">
        <x:is>
          <x:t xml:space="preserve">disease_level1</x:t>
        </x:is>
      </x:c>
      <x:c r="J1" s="4" t="inlineStr">
        <x:is>
          <x:t xml:space="preserve">disease_level2</x:t>
        </x:is>
      </x:c>
      <x:c r="K1" s="4" t="inlineStr">
        <x:is>
          <x:t xml:space="preserve">working_label</x:t>
        </x:is>
      </x:c>
      <x:c r="L1" s="4" t="inlineStr">
        <x:is>
          <x:t xml:space="preserve">final_confirmed_diagnosis</x:t>
        </x:is>
      </x:c>
      <x:c r="M1" s="4" t="inlineStr">
        <x:is>
          <x:t xml:space="preserve">diagnosis_status</x:t>
        </x:is>
      </x:c>
      <x:c r="N1" s="4" t="inlineStr">
        <x:is>
          <x:t xml:space="preserve">pathology_confirmed</x:t>
        </x:is>
      </x:c>
      <x:c r="O1" s="4" t="inlineStr">
        <x:is>
          <x:t xml:space="preserve">body_site</x:t>
        </x:is>
      </x:c>
      <x:c r="P1" s="4" t="inlineStr">
        <x:is>
          <x:t xml:space="preserve">image_type</x:t>
        </x:is>
      </x:c>
      <x:c r="Q1" s="4" t="inlineStr">
        <x:is>
          <x:t xml:space="preserve">image_quality</x:t>
        </x:is>
      </x:c>
      <x:c r="R1" s="4" t="inlineStr">
        <x:is>
          <x:t xml:space="preserve">is_typical_case</x:t>
        </x:is>
      </x:c>
      <x:c r="S1" s="4" t="inlineStr">
        <x:is>
          <x:t xml:space="preserve">danger_signal</x:t>
        </x:is>
      </x:c>
      <x:c r="T1" s="4" t="inlineStr">
        <x:is>
          <x:t xml:space="preserve">referral_level</x:t>
        </x:is>
      </x:c>
      <x:c r="U1" s="4" t="inlineStr">
        <x:is>
          <x:t xml:space="preserve">suspected_diagnosis_1</x:t>
        </x:is>
      </x:c>
      <x:c r="V1" s="4" t="inlineStr">
        <x:is>
          <x:t xml:space="preserve">suspected_diagnosis_2</x:t>
        </x:is>
      </x:c>
      <x:c r="W1" s="4" t="inlineStr">
        <x:is>
          <x:t xml:space="preserve">common_misdiagnosis</x:t>
        </x:is>
      </x:c>
      <x:c r="X1" s="4" t="inlineStr">
        <x:is>
          <x:t xml:space="preserve">symptom_keywords</x:t>
        </x:is>
      </x:c>
      <x:c r="Y1" s="4" t="inlineStr">
        <x:is>
          <x:t xml:space="preserve">teaching_point</x:t>
        </x:is>
      </x:c>
      <x:c r="Z1" s="4" t="inlineStr">
        <x:is>
          <x:t xml:space="preserve">gold_explanation</x:t>
        </x:is>
      </x:c>
      <x:c r="AA1" s="4" t="inlineStr">
        <x:is>
          <x:t xml:space="preserve">usable_for_quiz</x:t>
        </x:is>
      </x:c>
      <x:c r="AB1" s="4" t="inlineStr">
        <x:is>
          <x:t xml:space="preserve">village_doctor_level</x:t>
        </x:is>
      </x:c>
      <x:c r="AC1" s="4" t="inlineStr">
        <x:is>
          <x:t xml:space="preserve">note</x:t>
        </x:is>
      </x:c>
      <x:c r="AD1" s="4" t="inlineStr">
        <x:is>
          <x:t xml:space="preserve">urgency_score</x:t>
        </x:is>
      </x:c>
      <x:c r="AE1" s="4" t="inlineStr">
        <x:is>
          <x:t xml:space="preserve">split_suggestion</x:t>
        </x:is>
      </x:c>
      <x:c r="AF1" s="4" t="inlineStr">
        <x:is>
          <x:t xml:space="preserve">system_priority</x:t>
        </x:is>
      </x:c>
    </x:row>
    <x:row r="2">
      <x:c r="A2" s="5" t="inlineStr">
        <x:is>
          <x:t xml:space="preserve">CASE0001</x:t>
        </x:is>
      </x:c>
      <x:c r="B2" s="5" t="n">
        <x:v>1</x:v>
      </x:c>
      <x:c r="C2" s="5" t="inlineStr">
        <x:is>
          <x:t xml:space="preserve">PT001</x:t>
        </x:is>
      </x:c>
      <x:c r="D2" s="5" t="inlineStr">
        <x:is>
          <x:t xml:space="preserve">20230223151117-程计容-大体图像-上肢.jpg</x:t>
        </x:is>
      </x:c>
      <x:c r="E2" s="6" t="inlineStr">
        <x:is>
          <x:t xml:space="preserve">./images/20230223151117-程计容-大体图像-上肢.jpg</x:t>
        </x:is>
      </x:c>
      <x:c r="F2" s="5" t="inlineStr">
        <x:is>
          <x:t xml:space="preserve">皮蛋_种子病例库_v1</x:t>
        </x:is>
      </x:c>
      <x:c r="G2" s="5" t="inlineStr">
        <x:is>
          <x:t xml:space="preserve">银屑病</x:t>
        </x:is>
      </x:c>
      <x:c r="H2" s="7" t="inlineStr">
        <x:is>
          <x:t xml:space="preserve">易混淆图</x:t>
        </x:is>
      </x:c>
      <x:c r="I2" s="5" t="inlineStr">
        <x:is>
          <x:t xml:space="preserve">炎症性皮肤病</x:t>
        </x:is>
      </x:c>
      <x:c r="J2" s="5" t="inlineStr">
        <x:is>
          <x:t xml:space="preserve">银屑病</x:t>
        </x:is>
      </x:c>
      <x:c r="K2" s="5" t="inlineStr">
        <x:is>
          <x:t xml:space="preserve">银屑病</x:t>
        </x:is>
      </x:c>
      <x:c r="L2" s="6" t="inlineStr">
        <x:is>
          <x:t xml:space="preserve">银屑病</x:t>
        </x:is>
      </x:c>
      <x:c r="M2" s="6" t="inlineStr">
        <x:is>
          <x:t xml:space="preserve">工作标签-待终审</x:t>
        </x:is>
      </x:c>
      <x:c r="N2" s="6" t="inlineStr">
        <x:is>
          <x:t xml:space="preserve">未知</x:t>
        </x:is>
      </x:c>
      <x:c r="O2" s="3" t="inlineStr">
        <x:is>
          <x:t xml:space="preserve">上肢</x:t>
        </x:is>
      </x:c>
      <x:c r="P2" s="3" t="inlineStr">
        <x:is>
          <x:t xml:space="preserve">大体图像</x:t>
        </x:is>
      </x:c>
      <x:c r="Q2" s="3" t="inlineStr">
        <x:is>
          <x:t xml:space="preserve">好</x:t>
        </x:is>
      </x:c>
      <x:c r="R2" s="3" t="inlineStr">
        <x:is>
          <x:t xml:space="preserve">否</x:t>
        </x:is>
      </x:c>
      <x:c r="S2" s="3" t="inlineStr">
        <x:is>
          <x:t xml:space="preserve">无</x:t>
        </x:is>
      </x:c>
      <x:c r="T2" s="3" t="inlineStr">
        <x:is>
          <x:t xml:space="preserve">普通转诊</x:t>
        </x:is>
      </x:c>
      <x:c r="U2" s="3" t="inlineStr">
        <x:is>
          <x:t xml:space="preserve">银屑病</x:t>
        </x:is>
      </x:c>
      <x:c r="V2" s="3" t="inlineStr">
        <x:is>
          <x:t xml:space="preserve">传染性软疣</x:t>
        </x:is>
      </x:c>
      <x:c r="W2" s="3" t="inlineStr">
        <x:is>
          <x:t xml:space="preserve">传染性软疣/疣</x:t>
        </x:is>
      </x:c>
      <x:c r="X2" s="3" t="inlineStr">
        <x:is>
          <x:t xml:space="preserve">上肢多发丘疹/斑块，表现不典型</x:t>
        </x:is>
      </x:c>
      <x:c r="Y2" s="3" t="inlineStr">
        <x:is>
          <x:t xml:space="preserve">识别丘疹性皮损与典型鳞屑性斑块银屑病之间的差异，看到不典型图要保留鉴别诊断。</x:t>
        </x:is>
      </x:c>
      <x:c r="Z2" s="3" t="inlineStr">
        <x:is>
          <x:t xml:space="preserve">按用户当前分组归入银屑病。此图更适合作为“非典型或易混淆示例”，训练重点不是直接下定论，而是学会发现不典型表现并保留其他诊断方向。</x:t>
        </x:is>
      </x:c>
      <x:c r="AA2" s="3" t="inlineStr">
        <x:is>
          <x:t xml:space="preserve">是</x:t>
        </x:is>
      </x:c>
      <x:c r="AB2" s="3" t="inlineStr">
        <x:is>
          <x:t xml:space="preserve">中级</x:t>
        </x:is>
      </x:c>
      <x:c r="AC2" s="6" t="inlineStr">
        <x:is>
          <x:t xml:space="preserve">建议后续由皮肤科医生终审。</x:t>
        </x:is>
      </x:c>
      <x:c r="AD2" s="8">
        <x:f>IF(T2="观察",1,IF(T2="普通转诊",2,IF(T2="尽快转诊",3,IF(T2="紧急",4,""))))</x:f>
        <x:v>2</x:v>
      </x:c>
      <x:c r="AE2" s="8" t="str">
        <x:f>IF(AA2="否","review",IF(R2="是","train_core",IF(S2="有","train_core","train_expand")))</x:f>
        <x:v>train_expand</x:v>
      </x:c>
      <x:c r="AF2" s="8" t="str">
        <x:f>IF(AD2&gt;=4,"P1",IF(AD2=3,"P1",IF(AD2=2,"P2","P3")))</x:f>
        <x:v>P2</x:v>
      </x:c>
    </x:row>
    <x:row r="3">
      <x:c r="A3" s="5" t="inlineStr">
        <x:is>
          <x:t xml:space="preserve">CASE0002</x:t>
        </x:is>
      </x:c>
      <x:c r="B3" s="5" t="n">
        <x:v>2</x:v>
      </x:c>
      <x:c r="C3" s="5" t="inlineStr">
        <x:is>
          <x:t xml:space="preserve">PT002</x:t>
        </x:is>
      </x:c>
      <x:c r="D3" s="5" t="inlineStr">
        <x:is>
          <x:t xml:space="preserve">20230308115802-程振轩-大体图像-下肢.jpg</x:t>
        </x:is>
      </x:c>
      <x:c r="E3" s="6" t="inlineStr">
        <x:is>
          <x:t xml:space="preserve">./images/20230308115802-程振轩-大体图像-下肢.jpg</x:t>
        </x:is>
      </x:c>
      <x:c r="F3" s="5" t="inlineStr">
        <x:is>
          <x:t xml:space="preserve">皮蛋_种子病例库_v1</x:t>
        </x:is>
      </x:c>
      <x:c r="G3" s="5" t="inlineStr">
        <x:is>
          <x:t xml:space="preserve">银屑病</x:t>
        </x:is>
      </x:c>
      <x:c r="H3" s="7" t="inlineStr">
        <x:is>
          <x:t xml:space="preserve">易混淆图</x:t>
        </x:is>
      </x:c>
      <x:c r="I3" s="5" t="inlineStr">
        <x:is>
          <x:t xml:space="preserve">炎症性皮肤病</x:t>
        </x:is>
      </x:c>
      <x:c r="J3" s="5" t="inlineStr">
        <x:is>
          <x:t xml:space="preserve">银屑病</x:t>
        </x:is>
      </x:c>
      <x:c r="K3" s="5" t="inlineStr">
        <x:is>
          <x:t xml:space="preserve">银屑病</x:t>
        </x:is>
      </x:c>
      <x:c r="L3" s="6" t="inlineStr">
        <x:is>
          <x:t xml:space="preserve">银屑病</x:t>
        </x:is>
      </x:c>
      <x:c r="M3" s="6" t="inlineStr">
        <x:is>
          <x:t xml:space="preserve">工作标签-待终审</x:t>
        </x:is>
      </x:c>
      <x:c r="N3" s="6" t="inlineStr">
        <x:is>
          <x:t xml:space="preserve">未知</x:t>
        </x:is>
      </x:c>
      <x:c r="O3" s="3" t="inlineStr">
        <x:is>
          <x:t xml:space="preserve">下肢/臀部邻近区域</x:t>
        </x:is>
      </x:c>
      <x:c r="P3" s="3" t="inlineStr">
        <x:is>
          <x:t xml:space="preserve">大体图像</x:t>
        </x:is>
      </x:c>
      <x:c r="Q3" s="3" t="inlineStr">
        <x:is>
          <x:t xml:space="preserve">好</x:t>
        </x:is>
      </x:c>
      <x:c r="R3" s="3" t="inlineStr">
        <x:is>
          <x:t xml:space="preserve">否</x:t>
        </x:is>
      </x:c>
      <x:c r="S3" s="3" t="inlineStr">
        <x:is>
          <x:t xml:space="preserve">无</x:t>
        </x:is>
      </x:c>
      <x:c r="T3" s="3" t="inlineStr">
        <x:is>
          <x:t xml:space="preserve">普通转诊</x:t>
        </x:is>
      </x:c>
      <x:c r="U3" s="3" t="inlineStr">
        <x:is>
          <x:t xml:space="preserve">银屑病</x:t>
        </x:is>
      </x:c>
      <x:c r="V3" s="3" t="inlineStr">
        <x:is>
          <x:t xml:space="preserve">带状疱疹</x:t>
        </x:is>
      </x:c>
      <x:c r="W3" s="3" t="inlineStr">
        <x:is>
          <x:t xml:space="preserve">带状疱疹/单纯疱疹</x:t>
        </x:is>
      </x:c>
      <x:c r="X3" s="3" t="inlineStr">
        <x:is>
          <x:t xml:space="preserve">簇集性皮损，局限分布，需结合病程</x:t>
        </x:is>
      </x:c>
      <x:c r="Y3" s="3" t="inlineStr">
        <x:is>
          <x:t xml:space="preserve">训练村医遇到簇集分布皮损时不要只按固定分组判断，要结合分布、疼痛/瘙痒、病程做鉴别。</x:t>
        </x:is>
      </x:c>
      <x:c r="Z3" s="3" t="inlineStr">
        <x:is>
          <x:t xml:space="preserve">按用户当前分组归入银屑病，但图像呈簇集性分布，更适合作为鉴别训练图，而非典型银屑病演示图。</x:t>
        </x:is>
      </x:c>
      <x:c r="AA3" s="3" t="inlineStr">
        <x:is>
          <x:t xml:space="preserve">是</x:t>
        </x:is>
      </x:c>
      <x:c r="AB3" s="3" t="inlineStr">
        <x:is>
          <x:t xml:space="preserve">中级</x:t>
        </x:is>
      </x:c>
      <x:c r="AC3" s="6" t="inlineStr">
        <x:is>
          <x:t xml:space="preserve">建议后续终审。</x:t>
        </x:is>
      </x:c>
      <x:c r="AD3" s="8">
        <x:f>IF(T3="观察",1,IF(T3="普通转诊",2,IF(T3="尽快转诊",3,IF(T3="紧急",4,""))))</x:f>
        <x:v>2</x:v>
      </x:c>
      <x:c r="AE3" s="8" t="str">
        <x:f>IF(AA3="否","review",IF(R3="是","train_core",IF(S3="有","train_core","train_expand")))</x:f>
        <x:v>train_expand</x:v>
      </x:c>
      <x:c r="AF3" s="8" t="str">
        <x:f>IF(AD3&gt;=4,"P1",IF(AD3=3,"P1",IF(AD3=2,"P2","P3")))</x:f>
        <x:v>P2</x:v>
      </x:c>
    </x:row>
    <x:row r="4">
      <x:c r="A4" s="5" t="inlineStr">
        <x:is>
          <x:t xml:space="preserve">CASE0003</x:t>
        </x:is>
      </x:c>
      <x:c r="B4" s="5" t="n">
        <x:v>3</x:v>
      </x:c>
      <x:c r="C4" s="5" t="inlineStr">
        <x:is>
          <x:t xml:space="preserve">PT003</x:t>
        </x:is>
      </x:c>
      <x:c r="D4" s="5" t="inlineStr">
        <x:is>
          <x:t xml:space="preserve">20230404154109-曾斌-大体图像-下肢.jpg</x:t>
        </x:is>
      </x:c>
      <x:c r="E4" s="6" t="inlineStr">
        <x:is>
          <x:t xml:space="preserve">./images/20230404154109-曾斌-大体图像-下肢.jpg</x:t>
        </x:is>
      </x:c>
      <x:c r="F4" s="5" t="inlineStr">
        <x:is>
          <x:t xml:space="preserve">皮蛋_种子病例库_v1</x:t>
        </x:is>
      </x:c>
      <x:c r="G4" s="5" t="inlineStr">
        <x:is>
          <x:t xml:space="preserve">银屑病</x:t>
        </x:is>
      </x:c>
      <x:c r="H4" s="3" t="inlineStr">
        <x:is>
          <x:t xml:space="preserve">典型图</x:t>
        </x:is>
      </x:c>
      <x:c r="I4" s="5" t="inlineStr">
        <x:is>
          <x:t xml:space="preserve">炎症性皮肤病</x:t>
        </x:is>
      </x:c>
      <x:c r="J4" s="5" t="inlineStr">
        <x:is>
          <x:t xml:space="preserve">银屑病</x:t>
        </x:is>
      </x:c>
      <x:c r="K4" s="5" t="inlineStr">
        <x:is>
          <x:t xml:space="preserve">银屑病</x:t>
        </x:is>
      </x:c>
      <x:c r="L4" s="6" t="inlineStr">
        <x:is>
          <x:t xml:space="preserve">银屑病</x:t>
        </x:is>
      </x:c>
      <x:c r="M4" s="6" t="inlineStr">
        <x:is>
          <x:t xml:space="preserve">工作标签-可先用于系统</x:t>
        </x:is>
      </x:c>
      <x:c r="N4" s="6" t="inlineStr">
        <x:is>
          <x:t xml:space="preserve">未知</x:t>
        </x:is>
      </x:c>
      <x:c r="O4" s="3" t="inlineStr">
        <x:is>
          <x:t xml:space="preserve">下肢</x:t>
        </x:is>
      </x:c>
      <x:c r="P4" s="3" t="inlineStr">
        <x:is>
          <x:t xml:space="preserve">大体图像</x:t>
        </x:is>
      </x:c>
      <x:c r="Q4" s="3" t="inlineStr">
        <x:is>
          <x:t xml:space="preserve">好</x:t>
        </x:is>
      </x:c>
      <x:c r="R4" s="3" t="inlineStr">
        <x:is>
          <x:t xml:space="preserve">是</x:t>
        </x:is>
      </x:c>
      <x:c r="S4" s="3" t="inlineStr">
        <x:is>
          <x:t xml:space="preserve">无</x:t>
        </x:is>
      </x:c>
      <x:c r="T4" s="3" t="inlineStr">
        <x:is>
          <x:t xml:space="preserve">普通转诊</x:t>
        </x:is>
      </x:c>
      <x:c r="U4" s="3" t="inlineStr">
        <x:is>
          <x:t xml:space="preserve">银屑病</x:t>
        </x:is>
      </x:c>
      <x:c r="V4" s="3" t="inlineStr">
        <x:is>
          <x:t xml:space="preserve">慢性湿疹</x:t>
        </x:is>
      </x:c>
      <x:c r="W4" s="3" t="inlineStr">
        <x:is>
          <x:t xml:space="preserve">慢性湿疹/淤积性皮炎</x:t>
        </x:is>
      </x:c>
      <x:c r="X4" s="3" t="inlineStr">
        <x:is>
          <x:t xml:space="preserve">下肢厚痂/鳞屑性斑块</x:t>
        </x:is>
      </x:c>
      <x:c r="Y4" s="3" t="inlineStr">
        <x:is>
          <x:t xml:space="preserve">识别边界相对清楚、厚鳞屑或痂屑覆盖的慢性斑块性病变。</x:t>
        </x:is>
      </x:c>
      <x:c r="Z4" s="3" t="inlineStr">
        <x:is>
          <x:t xml:space="preserve">该图鳞屑/痂屑性斑块较明显，可作为银屑病方向的入门示例。教学上可同时讲与湿疹样皮炎的区别。</x:t>
        </x:is>
      </x:c>
      <x:c r="AA4" s="3" t="inlineStr">
        <x:is>
          <x:t xml:space="preserve">是</x:t>
        </x:is>
      </x:c>
      <x:c r="AB4" s="3" t="inlineStr">
        <x:is>
          <x:t xml:space="preserve">初级</x:t>
        </x:is>
      </x:c>
      <x:c r="AC4" s="6" t="inlineStr">
        <x:is>
          <x:t xml:space="preserve"/>
        </x:is>
      </x:c>
      <x:c r="AD4" s="8">
        <x:f>IF(T4="观察",1,IF(T4="普通转诊",2,IF(T4="尽快转诊",3,IF(T4="紧急",4,""))))</x:f>
        <x:v>2</x:v>
      </x:c>
      <x:c r="AE4" s="8" t="str">
        <x:f>IF(AA4="否","review",IF(R4="是","train_core",IF(S4="有","train_core","train_expand")))</x:f>
        <x:v>train_core</x:v>
      </x:c>
      <x:c r="AF4" s="8" t="str">
        <x:f>IF(AD4&gt;=4,"P1",IF(AD4=3,"P1",IF(AD4=2,"P2","P3")))</x:f>
        <x:v>P2</x:v>
      </x:c>
    </x:row>
    <x:row r="5">
      <x:c r="A5" s="5" t="inlineStr">
        <x:is>
          <x:t xml:space="preserve">CASE0004</x:t>
        </x:is>
      </x:c>
      <x:c r="B5" s="5" t="n">
        <x:v>4</x:v>
      </x:c>
      <x:c r="C5" s="5" t="inlineStr">
        <x:is>
          <x:t xml:space="preserve">PT004</x:t>
        </x:is>
      </x:c>
      <x:c r="D5" s="5" t="inlineStr">
        <x:is>
          <x:t xml:space="preserve">20230516152712-曾静-大体图像-背部.jpg</x:t>
        </x:is>
      </x:c>
      <x:c r="E5" s="6" t="inlineStr">
        <x:is>
          <x:t xml:space="preserve">./images/20230516152712-曾静-大体图像-背部.jpg</x:t>
        </x:is>
      </x:c>
      <x:c r="F5" s="5" t="inlineStr">
        <x:is>
          <x:t xml:space="preserve">皮蛋_种子病例库_v1</x:t>
        </x:is>
      </x:c>
      <x:c r="G5" s="5" t="inlineStr">
        <x:is>
          <x:t xml:space="preserve">银屑病</x:t>
        </x:is>
      </x:c>
      <x:c r="H5" s="7" t="inlineStr">
        <x:is>
          <x:t xml:space="preserve">易混淆图</x:t>
        </x:is>
      </x:c>
      <x:c r="I5" s="5" t="inlineStr">
        <x:is>
          <x:t xml:space="preserve">炎症性皮肤病</x:t>
        </x:is>
      </x:c>
      <x:c r="J5" s="5" t="inlineStr">
        <x:is>
          <x:t xml:space="preserve">银屑病</x:t>
        </x:is>
      </x:c>
      <x:c r="K5" s="5" t="inlineStr">
        <x:is>
          <x:t xml:space="preserve">银屑病</x:t>
        </x:is>
      </x:c>
      <x:c r="L5" s="6" t="inlineStr">
        <x:is>
          <x:t xml:space="preserve">银屑病</x:t>
        </x:is>
      </x:c>
      <x:c r="M5" s="6" t="inlineStr">
        <x:is>
          <x:t xml:space="preserve">工作标签-待终审</x:t>
        </x:is>
      </x:c>
      <x:c r="N5" s="6" t="inlineStr">
        <x:is>
          <x:t xml:space="preserve">未知</x:t>
        </x:is>
      </x:c>
      <x:c r="O5" s="3" t="inlineStr">
        <x:is>
          <x:t xml:space="preserve">背部/腰背部</x:t>
        </x:is>
      </x:c>
      <x:c r="P5" s="3" t="inlineStr">
        <x:is>
          <x:t xml:space="preserve">大体图像</x:t>
        </x:is>
      </x:c>
      <x:c r="Q5" s="3" t="inlineStr">
        <x:is>
          <x:t xml:space="preserve">好</x:t>
        </x:is>
      </x:c>
      <x:c r="R5" s="3" t="inlineStr">
        <x:is>
          <x:t xml:space="preserve">否</x:t>
        </x:is>
      </x:c>
      <x:c r="S5" s="3" t="inlineStr">
        <x:is>
          <x:t xml:space="preserve">无</x:t>
        </x:is>
      </x:c>
      <x:c r="T5" s="3" t="inlineStr">
        <x:is>
          <x:t xml:space="preserve">普通转诊</x:t>
        </x:is>
      </x:c>
      <x:c r="U5" s="3" t="inlineStr">
        <x:is>
          <x:t xml:space="preserve">银屑病</x:t>
        </x:is>
      </x:c>
      <x:c r="V5" s="3" t="inlineStr">
        <x:is>
          <x:t xml:space="preserve">体癣</x:t>
        </x:is>
      </x:c>
      <x:c r="W5" s="3" t="inlineStr">
        <x:is>
          <x:t xml:space="preserve">体癣/环形红斑</x:t>
        </x:is>
      </x:c>
      <x:c r="X5" s="3" t="inlineStr">
        <x:is>
          <x:t xml:space="preserve">背部多发环样或斑块样皮损，鉴别体癣</x:t>
        </x:is>
      </x:c>
      <x:c r="Y5" s="3" t="inlineStr">
        <x:is>
          <x:t xml:space="preserve">训练环形皮损的鉴别思路：看边缘、中央、鳞屑分布、数量及部位。</x:t>
        </x:is>
      </x:c>
      <x:c r="Z5" s="3" t="inlineStr">
        <x:is>
          <x:t xml:space="preserve">按用户当前分组归入银屑病，但图像更适合作为“银屑病 vs 体癣”鉴别训练材料，不能只靠分组记忆。</x:t>
        </x:is>
      </x:c>
      <x:c r="AA5" s="3" t="inlineStr">
        <x:is>
          <x:t xml:space="preserve">是</x:t>
        </x:is>
      </x:c>
      <x:c r="AB5" s="3" t="inlineStr">
        <x:is>
          <x:t xml:space="preserve">中级</x:t>
        </x:is>
      </x:c>
      <x:c r="AC5" s="6" t="inlineStr">
        <x:is>
          <x:t xml:space="preserve">建议后续终审。</x:t>
        </x:is>
      </x:c>
      <x:c r="AD5" s="8">
        <x:f>IF(T5="观察",1,IF(T5="普通转诊",2,IF(T5="尽快转诊",3,IF(T5="紧急",4,""))))</x:f>
        <x:v>2</x:v>
      </x:c>
      <x:c r="AE5" s="8" t="str">
        <x:f>IF(AA5="否","review",IF(R5="是","train_core",IF(S5="有","train_core","train_expand")))</x:f>
        <x:v>train_expand</x:v>
      </x:c>
      <x:c r="AF5" s="8" t="str">
        <x:f>IF(AD5&gt;=4,"P1",IF(AD5=3,"P1",IF(AD5=2,"P2","P3")))</x:f>
        <x:v>P2</x:v>
      </x:c>
    </x:row>
    <x:row r="6">
      <x:c r="A6" s="5" t="inlineStr">
        <x:is>
          <x:t xml:space="preserve">CASE0005</x:t>
        </x:is>
      </x:c>
      <x:c r="B6" s="5" t="n">
        <x:v>5</x:v>
      </x:c>
      <x:c r="C6" s="5" t="inlineStr">
        <x:is>
          <x:t xml:space="preserve">PT005</x:t>
        </x:is>
      </x:c>
      <x:c r="D6" s="5" t="inlineStr">
        <x:is>
          <x:t xml:space="preserve">20230417151222-陈元生-大体图像-下肢.jpg</x:t>
        </x:is>
      </x:c>
      <x:c r="E6" s="6" t="inlineStr">
        <x:is>
          <x:t xml:space="preserve">./images/20230417151222-陈元生-大体图像-下肢.jpg</x:t>
        </x:is>
      </x:c>
      <x:c r="F6" s="5" t="inlineStr">
        <x:is>
          <x:t xml:space="preserve">皮蛋_种子病例库_v1</x:t>
        </x:is>
      </x:c>
      <x:c r="G6" s="5" t="inlineStr">
        <x:is>
          <x:t xml:space="preserve">湿疹</x:t>
        </x:is>
      </x:c>
      <x:c r="H6" s="3" t="inlineStr">
        <x:is>
          <x:t xml:space="preserve">典型图</x:t>
        </x:is>
      </x:c>
      <x:c r="I6" s="5" t="inlineStr">
        <x:is>
          <x:t xml:space="preserve">炎症性皮肤病</x:t>
        </x:is>
      </x:c>
      <x:c r="J6" s="5" t="inlineStr">
        <x:is>
          <x:t xml:space="preserve">湿疹</x:t>
        </x:is>
      </x:c>
      <x:c r="K6" s="5" t="inlineStr">
        <x:is>
          <x:t xml:space="preserve">湿疹</x:t>
        </x:is>
      </x:c>
      <x:c r="L6" s="6" t="inlineStr">
        <x:is>
          <x:t xml:space="preserve">湿疹</x:t>
        </x:is>
      </x:c>
      <x:c r="M6" s="6" t="inlineStr">
        <x:is>
          <x:t xml:space="preserve">工作标签-可先用于系统</x:t>
        </x:is>
      </x:c>
      <x:c r="N6" s="6" t="inlineStr">
        <x:is>
          <x:t xml:space="preserve">未知</x:t>
        </x:is>
      </x:c>
      <x:c r="O6" s="3" t="inlineStr">
        <x:is>
          <x:t xml:space="preserve">下肢</x:t>
        </x:is>
      </x:c>
      <x:c r="P6" s="3" t="inlineStr">
        <x:is>
          <x:t xml:space="preserve">大体图像</x:t>
        </x:is>
      </x:c>
      <x:c r="Q6" s="3" t="inlineStr">
        <x:is>
          <x:t xml:space="preserve">好</x:t>
        </x:is>
      </x:c>
      <x:c r="R6" s="3" t="inlineStr">
        <x:is>
          <x:t xml:space="preserve">是</x:t>
        </x:is>
      </x:c>
      <x:c r="S6" s="3" t="inlineStr">
        <x:is>
          <x:t xml:space="preserve">无</x:t>
        </x:is>
      </x:c>
      <x:c r="T6" s="3" t="inlineStr">
        <x:is>
          <x:t xml:space="preserve">观察</x:t>
        </x:is>
      </x:c>
      <x:c r="U6" s="3" t="inlineStr">
        <x:is>
          <x:t xml:space="preserve">湿疹</x:t>
        </x:is>
      </x:c>
      <x:c r="V6" s="3" t="inlineStr">
        <x:is>
          <x:t xml:space="preserve">慢性皮炎</x:t>
        </x:is>
      </x:c>
      <x:c r="W6" s="3" t="inlineStr">
        <x:is>
          <x:t xml:space="preserve">银屑病/淤积性皮炎</x:t>
        </x:is>
      </x:c>
      <x:c r="X6" s="3" t="inlineStr">
        <x:is>
          <x:t xml:space="preserve">下肢干燥、色沉、苔藓样改变</x:t>
        </x:is>
      </x:c>
      <x:c r="Y6" s="3" t="inlineStr">
        <x:is>
          <x:t xml:space="preserve">识别干燥、色沉、苔藓样改变等慢性湿疹特征。</x:t>
        </x:is>
      </x:c>
      <x:c r="Z6" s="3" t="inlineStr">
        <x:is>
          <x:t xml:space="preserve">该图更适合讲慢性湿疹或慢性皮炎样外观，村医应先识别炎症性、慢性、非高危的基本特征。</x:t>
        </x:is>
      </x:c>
      <x:c r="AA6" s="3" t="inlineStr">
        <x:is>
          <x:t xml:space="preserve">是</x:t>
        </x:is>
      </x:c>
      <x:c r="AB6" s="3" t="inlineStr">
        <x:is>
          <x:t xml:space="preserve">初级</x:t>
        </x:is>
      </x:c>
      <x:c r="AC6" s="6" t="inlineStr">
        <x:is>
          <x:t xml:space="preserve"/>
        </x:is>
      </x:c>
      <x:c r="AD6" s="8">
        <x:f>IF(T6="观察",1,IF(T6="普通转诊",2,IF(T6="尽快转诊",3,IF(T6="紧急",4,""))))</x:f>
        <x:v>1</x:v>
      </x:c>
      <x:c r="AE6" s="8" t="str">
        <x:f>IF(AA6="否","review",IF(R6="是","train_core",IF(S6="有","train_core","train_expand")))</x:f>
        <x:v>train_core</x:v>
      </x:c>
      <x:c r="AF6" s="8" t="str">
        <x:f>IF(AD6&gt;=4,"P1",IF(AD6=3,"P1",IF(AD6=2,"P2","P3")))</x:f>
        <x:v>P3</x:v>
      </x:c>
    </x:row>
    <x:row r="7">
      <x:c r="A7" s="5" t="inlineStr">
        <x:is>
          <x:t xml:space="preserve">CASE0006</x:t>
        </x:is>
      </x:c>
      <x:c r="B7" s="5" t="n">
        <x:v>6</x:v>
      </x:c>
      <x:c r="C7" s="5" t="inlineStr">
        <x:is>
          <x:t xml:space="preserve">PT006</x:t>
        </x:is>
      </x:c>
      <x:c r="D7" s="5" t="inlineStr">
        <x:is>
          <x:t xml:space="preserve">20230426150409-何睿-大体图像-下肢.jpg</x:t>
        </x:is>
      </x:c>
      <x:c r="E7" s="6" t="inlineStr">
        <x:is>
          <x:t xml:space="preserve">./images/20230426150409-何睿-大体图像-下肢.jpg</x:t>
        </x:is>
      </x:c>
      <x:c r="F7" s="5" t="inlineStr">
        <x:is>
          <x:t xml:space="preserve">皮蛋_种子病例库_v1</x:t>
        </x:is>
      </x:c>
      <x:c r="G7" s="5" t="inlineStr">
        <x:is>
          <x:t xml:space="preserve">湿疹</x:t>
        </x:is>
      </x:c>
      <x:c r="H7" s="3" t="inlineStr">
        <x:is>
          <x:t xml:space="preserve">典型图</x:t>
        </x:is>
      </x:c>
      <x:c r="I7" s="5" t="inlineStr">
        <x:is>
          <x:t xml:space="preserve">炎症性皮肤病</x:t>
        </x:is>
      </x:c>
      <x:c r="J7" s="5" t="inlineStr">
        <x:is>
          <x:t xml:space="preserve">湿疹</x:t>
        </x:is>
      </x:c>
      <x:c r="K7" s="5" t="inlineStr">
        <x:is>
          <x:t xml:space="preserve">湿疹</x:t>
        </x:is>
      </x:c>
      <x:c r="L7" s="6" t="inlineStr">
        <x:is>
          <x:t xml:space="preserve">湿疹</x:t>
        </x:is>
      </x:c>
      <x:c r="M7" s="6" t="inlineStr">
        <x:is>
          <x:t xml:space="preserve">工作标签-可先用于系统</x:t>
        </x:is>
      </x:c>
      <x:c r="N7" s="6" t="inlineStr">
        <x:is>
          <x:t xml:space="preserve">未知</x:t>
        </x:is>
      </x:c>
      <x:c r="O7" s="3" t="inlineStr">
        <x:is>
          <x:t xml:space="preserve">下肢</x:t>
        </x:is>
      </x:c>
      <x:c r="P7" s="3" t="inlineStr">
        <x:is>
          <x:t xml:space="preserve">大体图像</x:t>
        </x:is>
      </x:c>
      <x:c r="Q7" s="3" t="inlineStr">
        <x:is>
          <x:t xml:space="preserve">好</x:t>
        </x:is>
      </x:c>
      <x:c r="R7" s="3" t="inlineStr">
        <x:is>
          <x:t xml:space="preserve">是</x:t>
        </x:is>
      </x:c>
      <x:c r="S7" s="3" t="inlineStr">
        <x:is>
          <x:t xml:space="preserve">无</x:t>
        </x:is>
      </x:c>
      <x:c r="T7" s="3" t="inlineStr">
        <x:is>
          <x:t xml:space="preserve">观察</x:t>
        </x:is>
      </x:c>
      <x:c r="U7" s="3" t="inlineStr">
        <x:is>
          <x:t xml:space="preserve">湿疹</x:t>
        </x:is>
      </x:c>
      <x:c r="V7" s="3" t="inlineStr">
        <x:is>
          <x:t xml:space="preserve">痒疹</x:t>
        </x:is>
      </x:c>
      <x:c r="W7" s="3" t="inlineStr">
        <x:is>
          <x:t xml:space="preserve">痒疹/虫咬反应</x:t>
        </x:is>
      </x:c>
      <x:c r="X7" s="3" t="inlineStr">
        <x:is>
          <x:t xml:space="preserve">散在丘疹、抓痕、轻度鳞屑</x:t>
        </x:is>
      </x:c>
      <x:c r="Y7" s="3" t="inlineStr">
        <x:is>
          <x:t xml:space="preserve">看到散在丘疹、抓痕、轻度鳞屑时，先从湿疹样皮炎框架思考。</x:t>
        </x:is>
      </x:c>
      <x:c r="Z7" s="3" t="inlineStr">
        <x:is>
          <x:t xml:space="preserve">该图可作为湿疹样皮炎的基础示例，训练重点是识别炎症性丘疹伴抓痕，而非高危病变。</x:t>
        </x:is>
      </x:c>
      <x:c r="AA7" s="3" t="inlineStr">
        <x:is>
          <x:t xml:space="preserve">是</x:t>
        </x:is>
      </x:c>
      <x:c r="AB7" s="3" t="inlineStr">
        <x:is>
          <x:t xml:space="preserve">初级</x:t>
        </x:is>
      </x:c>
      <x:c r="AC7" s="6" t="inlineStr">
        <x:is>
          <x:t xml:space="preserve"/>
        </x:is>
      </x:c>
      <x:c r="AD7" s="8">
        <x:f>IF(T7="观察",1,IF(T7="普通转诊",2,IF(T7="尽快转诊",3,IF(T7="紧急",4,""))))</x:f>
        <x:v>1</x:v>
      </x:c>
      <x:c r="AE7" s="8" t="str">
        <x:f>IF(AA7="否","review",IF(R7="是","train_core",IF(S7="有","train_core","train_expand")))</x:f>
        <x:v>train_core</x:v>
      </x:c>
      <x:c r="AF7" s="8" t="str">
        <x:f>IF(AD7&gt;=4,"P1",IF(AD7=3,"P1",IF(AD7=2,"P2","P3")))</x:f>
        <x:v>P3</x:v>
      </x:c>
    </x:row>
    <x:row r="8">
      <x:c r="A8" s="5" t="inlineStr">
        <x:is>
          <x:t xml:space="preserve">CASE0007</x:t>
        </x:is>
      </x:c>
      <x:c r="B8" s="5" t="n">
        <x:v>7</x:v>
      </x:c>
      <x:c r="C8" s="5" t="inlineStr">
        <x:is>
          <x:t xml:space="preserve">PT007</x:t>
        </x:is>
      </x:c>
      <x:c r="D8" s="5" t="inlineStr">
        <x:is>
          <x:t xml:space="preserve">20230503161823-费亚莉-大体图像-臀部.jpg</x:t>
        </x:is>
      </x:c>
      <x:c r="E8" s="6" t="inlineStr">
        <x:is>
          <x:t xml:space="preserve">./images/20230503161823-费亚莉-大体图像-臀部.jpg</x:t>
        </x:is>
      </x:c>
      <x:c r="F8" s="5" t="inlineStr">
        <x:is>
          <x:t xml:space="preserve">皮蛋_种子病例库_v1</x:t>
        </x:is>
      </x:c>
      <x:c r="G8" s="5" t="inlineStr">
        <x:is>
          <x:t xml:space="preserve">湿疹</x:t>
        </x:is>
      </x:c>
      <x:c r="H8" s="7" t="inlineStr">
        <x:is>
          <x:t xml:space="preserve">易混淆图</x:t>
        </x:is>
      </x:c>
      <x:c r="I8" s="5" t="inlineStr">
        <x:is>
          <x:t xml:space="preserve">炎症性皮肤病</x:t>
        </x:is>
      </x:c>
      <x:c r="J8" s="5" t="inlineStr">
        <x:is>
          <x:t xml:space="preserve">湿疹</x:t>
        </x:is>
      </x:c>
      <x:c r="K8" s="5" t="inlineStr">
        <x:is>
          <x:t xml:space="preserve">湿疹</x:t>
        </x:is>
      </x:c>
      <x:c r="L8" s="6" t="inlineStr">
        <x:is>
          <x:t xml:space="preserve">湿疹</x:t>
        </x:is>
      </x:c>
      <x:c r="M8" s="6" t="inlineStr">
        <x:is>
          <x:t xml:space="preserve">工作标签-待终审</x:t>
        </x:is>
      </x:c>
      <x:c r="N8" s="6" t="inlineStr">
        <x:is>
          <x:t xml:space="preserve">未知</x:t>
        </x:is>
      </x:c>
      <x:c r="O8" s="3" t="inlineStr">
        <x:is>
          <x:t xml:space="preserve">臀部</x:t>
        </x:is>
      </x:c>
      <x:c r="P8" s="3" t="inlineStr">
        <x:is>
          <x:t xml:space="preserve">大体图像</x:t>
        </x:is>
      </x:c>
      <x:c r="Q8" s="3" t="inlineStr">
        <x:is>
          <x:t xml:space="preserve">好</x:t>
        </x:is>
      </x:c>
      <x:c r="R8" s="3" t="inlineStr">
        <x:is>
          <x:t xml:space="preserve">否</x:t>
        </x:is>
      </x:c>
      <x:c r="S8" s="3" t="inlineStr">
        <x:is>
          <x:t xml:space="preserve">无</x:t>
        </x:is>
      </x:c>
      <x:c r="T8" s="3" t="inlineStr">
        <x:is>
          <x:t xml:space="preserve">普通转诊</x:t>
        </x:is>
      </x:c>
      <x:c r="U8" s="3" t="inlineStr">
        <x:is>
          <x:t xml:space="preserve">湿疹</x:t>
        </x:is>
      </x:c>
      <x:c r="V8" s="3" t="inlineStr">
        <x:is>
          <x:t xml:space="preserve">带状疱疹</x:t>
        </x:is>
      </x:c>
      <x:c r="W8" s="3" t="inlineStr">
        <x:is>
          <x:t xml:space="preserve">带状疱疹/虫咬反应</x:t>
        </x:is>
      </x:c>
      <x:c r="X8" s="3" t="inlineStr">
        <x:is>
          <x:t xml:space="preserve">臀部局灶簇集性红色皮损</x:t>
        </x:is>
      </x:c>
      <x:c r="Y8" s="3" t="inlineStr">
        <x:is>
          <x:t xml:space="preserve">对于簇集性皮损，要训练村医不要机械贴标签，而要先判断是否需要进一步问症状和病程。</x:t>
        </x:is>
      </x:c>
      <x:c r="Z8" s="3" t="inlineStr">
        <x:is>
          <x:t xml:space="preserve">按用户当前分组归入湿疹，但形态不够典型，更适合用于鉴别训练，而不是湿疹入门正样本。</x:t>
        </x:is>
      </x:c>
      <x:c r="AA8" s="3" t="inlineStr">
        <x:is>
          <x:t xml:space="preserve">是</x:t>
        </x:is>
      </x:c>
      <x:c r="AB8" s="3" t="inlineStr">
        <x:is>
          <x:t xml:space="preserve">中级</x:t>
        </x:is>
      </x:c>
      <x:c r="AC8" s="6" t="inlineStr">
        <x:is>
          <x:t xml:space="preserve">建议终审。</x:t>
        </x:is>
      </x:c>
      <x:c r="AD8" s="8">
        <x:f>IF(T8="观察",1,IF(T8="普通转诊",2,IF(T8="尽快转诊",3,IF(T8="紧急",4,""))))</x:f>
        <x:v>2</x:v>
      </x:c>
      <x:c r="AE8" s="8" t="str">
        <x:f>IF(AA8="否","review",IF(R8="是","train_core",IF(S8="有","train_core","train_expand")))</x:f>
        <x:v>train_expand</x:v>
      </x:c>
      <x:c r="AF8" s="8" t="str">
        <x:f>IF(AD8&gt;=4,"P1",IF(AD8=3,"P1",IF(AD8=2,"P2","P3")))</x:f>
        <x:v>P2</x:v>
      </x:c>
    </x:row>
    <x:row r="9">
      <x:c r="A9" s="5" t="inlineStr">
        <x:is>
          <x:t xml:space="preserve">CASE0008</x:t>
        </x:is>
      </x:c>
      <x:c r="B9" s="5" t="n">
        <x:v>8</x:v>
      </x:c>
      <x:c r="C9" s="5" t="inlineStr">
        <x:is>
          <x:t xml:space="preserve">PT008</x:t>
        </x:is>
      </x:c>
      <x:c r="D9" s="5" t="inlineStr">
        <x:is>
          <x:t xml:space="preserve">20230504145753-郭磊-大体图像-手部.jpg</x:t>
        </x:is>
      </x:c>
      <x:c r="E9" s="6" t="inlineStr">
        <x:is>
          <x:t xml:space="preserve">./images/20230504145753-郭磊-大体图像-手部.jpg</x:t>
        </x:is>
      </x:c>
      <x:c r="F9" s="5" t="inlineStr">
        <x:is>
          <x:t xml:space="preserve">皮蛋_种子病例库_v1</x:t>
        </x:is>
      </x:c>
      <x:c r="G9" s="5" t="inlineStr">
        <x:is>
          <x:t xml:space="preserve">湿疹</x:t>
        </x:is>
      </x:c>
      <x:c r="H9" s="3" t="inlineStr">
        <x:is>
          <x:t xml:space="preserve">典型图</x:t>
        </x:is>
      </x:c>
      <x:c r="I9" s="5" t="inlineStr">
        <x:is>
          <x:t xml:space="preserve">炎症性皮肤病</x:t>
        </x:is>
      </x:c>
      <x:c r="J9" s="5" t="inlineStr">
        <x:is>
          <x:t xml:space="preserve">湿疹</x:t>
        </x:is>
      </x:c>
      <x:c r="K9" s="5" t="inlineStr">
        <x:is>
          <x:t xml:space="preserve">湿疹</x:t>
        </x:is>
      </x:c>
      <x:c r="L9" s="6" t="inlineStr">
        <x:is>
          <x:t xml:space="preserve">湿疹</x:t>
        </x:is>
      </x:c>
      <x:c r="M9" s="6" t="inlineStr">
        <x:is>
          <x:t xml:space="preserve">工作标签-可先用于系统</x:t>
        </x:is>
      </x:c>
      <x:c r="N9" s="6" t="inlineStr">
        <x:is>
          <x:t xml:space="preserve">未知</x:t>
        </x:is>
      </x:c>
      <x:c r="O9" s="3" t="inlineStr">
        <x:is>
          <x:t xml:space="preserve">手部</x:t>
        </x:is>
      </x:c>
      <x:c r="P9" s="3" t="inlineStr">
        <x:is>
          <x:t xml:space="preserve">大体图像</x:t>
        </x:is>
      </x:c>
      <x:c r="Q9" s="3" t="inlineStr">
        <x:is>
          <x:t xml:space="preserve">好</x:t>
        </x:is>
      </x:c>
      <x:c r="R9" s="3" t="inlineStr">
        <x:is>
          <x:t xml:space="preserve">是</x:t>
        </x:is>
      </x:c>
      <x:c r="S9" s="3" t="inlineStr">
        <x:is>
          <x:t xml:space="preserve">无</x:t>
        </x:is>
      </x:c>
      <x:c r="T9" s="3" t="inlineStr">
        <x:is>
          <x:t xml:space="preserve">观察</x:t>
        </x:is>
      </x:c>
      <x:c r="U9" s="3" t="inlineStr">
        <x:is>
          <x:t xml:space="preserve">湿疹</x:t>
        </x:is>
      </x:c>
      <x:c r="V9" s="3" t="inlineStr">
        <x:is>
          <x:t xml:space="preserve">手癣</x:t>
        </x:is>
      </x:c>
      <x:c r="W9" s="3" t="inlineStr">
        <x:is>
          <x:t xml:space="preserve">手癣/接触性皮炎</x:t>
        </x:is>
      </x:c>
      <x:c r="X9" s="3" t="inlineStr">
        <x:is>
          <x:t xml:space="preserve">手指脱屑、皲裂、慢性反复</x:t>
        </x:is>
      </x:c>
      <x:c r="Y9" s="3" t="inlineStr">
        <x:is>
          <x:t xml:space="preserve">手部脱屑、皲裂、指背/关节周围受累是很好的基层教学点。</x:t>
        </x:is>
      </x:c>
      <x:c r="Z9" s="3" t="inlineStr">
        <x:is>
          <x:t xml:space="preserve">该图可作为手湿疹较典型示例，适合初级村医训练，也适合配合“手癣鉴别”做题。</x:t>
        </x:is>
      </x:c>
      <x:c r="AA9" s="3" t="inlineStr">
        <x:is>
          <x:t xml:space="preserve">是</x:t>
        </x:is>
      </x:c>
      <x:c r="AB9" s="3" t="inlineStr">
        <x:is>
          <x:t xml:space="preserve">初级</x:t>
        </x:is>
      </x:c>
      <x:c r="AC9" s="6" t="inlineStr">
        <x:is>
          <x:t xml:space="preserve"/>
        </x:is>
      </x:c>
      <x:c r="AD9" s="8">
        <x:f>IF(T9="观察",1,IF(T9="普通转诊",2,IF(T9="尽快转诊",3,IF(T9="紧急",4,""))))</x:f>
        <x:v>1</x:v>
      </x:c>
      <x:c r="AE9" s="8" t="str">
        <x:f>IF(AA9="否","review",IF(R9="是","train_core",IF(S9="有","train_core","train_expand")))</x:f>
        <x:v>train_core</x:v>
      </x:c>
      <x:c r="AF9" s="8" t="str">
        <x:f>IF(AD9&gt;=4,"P1",IF(AD9=3,"P1",IF(AD9=2,"P2","P3")))</x:f>
        <x:v>P3</x:v>
      </x:c>
    </x:row>
    <x:row r="10">
      <x:c r="A10" s="5" t="inlineStr">
        <x:is>
          <x:t xml:space="preserve">CASE0009</x:t>
        </x:is>
      </x:c>
      <x:c r="B10" s="5" t="n">
        <x:v>9</x:v>
      </x:c>
      <x:c r="C10" s="5" t="inlineStr">
        <x:is>
          <x:t xml:space="preserve">PT009</x:t>
        </x:is>
      </x:c>
      <x:c r="D10" s="5" t="inlineStr">
        <x:is>
          <x:t xml:space="preserve">20221227082103-贺沁博-大体图像-背部.jpg</x:t>
        </x:is>
      </x:c>
      <x:c r="E10" s="6" t="inlineStr">
        <x:is>
          <x:t xml:space="preserve">./images/20221227082103-贺沁博-大体图像-背部.jpg</x:t>
        </x:is>
      </x:c>
      <x:c r="F10" s="5" t="inlineStr">
        <x:is>
          <x:t xml:space="preserve">皮蛋_种子病例库_v1</x:t>
        </x:is>
      </x:c>
      <x:c r="G10" s="5" t="inlineStr">
        <x:is>
          <x:t xml:space="preserve">玫瑰糠疹</x:t>
        </x:is>
      </x:c>
      <x:c r="H10" s="3" t="inlineStr">
        <x:is>
          <x:t xml:space="preserve">典型图</x:t>
        </x:is>
      </x:c>
      <x:c r="I10" s="5" t="inlineStr">
        <x:is>
          <x:t xml:space="preserve">炎症性皮肤病</x:t>
        </x:is>
      </x:c>
      <x:c r="J10" s="5" t="inlineStr">
        <x:is>
          <x:t xml:space="preserve">玫瑰糠疹</x:t>
        </x:is>
      </x:c>
      <x:c r="K10" s="5" t="inlineStr">
        <x:is>
          <x:t xml:space="preserve">玫瑰糠疹</x:t>
        </x:is>
      </x:c>
      <x:c r="L10" s="6" t="inlineStr">
        <x:is>
          <x:t xml:space="preserve">玫瑰糠疹</x:t>
        </x:is>
      </x:c>
      <x:c r="M10" s="6" t="inlineStr">
        <x:is>
          <x:t xml:space="preserve">工作标签-可先用于系统</x:t>
        </x:is>
      </x:c>
      <x:c r="N10" s="6" t="inlineStr">
        <x:is>
          <x:t xml:space="preserve">未知</x:t>
        </x:is>
      </x:c>
      <x:c r="O10" s="3" t="inlineStr">
        <x:is>
          <x:t xml:space="preserve">背部</x:t>
        </x:is>
      </x:c>
      <x:c r="P10" s="3" t="inlineStr">
        <x:is>
          <x:t xml:space="preserve">大体图像</x:t>
        </x:is>
      </x:c>
      <x:c r="Q10" s="3" t="inlineStr">
        <x:is>
          <x:t xml:space="preserve">好</x:t>
        </x:is>
      </x:c>
      <x:c r="R10" s="3" t="inlineStr">
        <x:is>
          <x:t xml:space="preserve">是</x:t>
        </x:is>
      </x:c>
      <x:c r="S10" s="3" t="inlineStr">
        <x:is>
          <x:t xml:space="preserve">无</x:t>
        </x:is>
      </x:c>
      <x:c r="T10" s="3" t="inlineStr">
        <x:is>
          <x:t xml:space="preserve">观察</x:t>
        </x:is>
      </x:c>
      <x:c r="U10" s="3" t="inlineStr">
        <x:is>
          <x:t xml:space="preserve">玫瑰糠疹</x:t>
        </x:is>
      </x:c>
      <x:c r="V10" s="3" t="inlineStr">
        <x:is>
          <x:t xml:space="preserve">病毒性斑丘疹</x:t>
        </x:is>
      </x:c>
      <x:c r="W10" s="3" t="inlineStr">
        <x:is>
          <x:t xml:space="preserve">药疹/病毒疹</x:t>
        </x:is>
      </x:c>
      <x:c r="X10" s="3" t="inlineStr">
        <x:is>
          <x:t xml:space="preserve">背部弥漫性淡红色斑丘疹</x:t>
        </x:is>
      </x:c>
      <x:c r="Y10" s="3" t="inlineStr">
        <x:is>
          <x:t xml:space="preserve">识别躯干为主的弥漫性斑丘疹分布，注意整体分布模式。</x:t>
        </x:is>
      </x:c>
      <x:c r="Z10" s="3" t="inlineStr">
        <x:is>
          <x:t xml:space="preserve">该图可作为玫瑰糠疹方向的入门示例，教学重点是分布和整体形态，不是单个皮损细节。</x:t>
        </x:is>
      </x:c>
      <x:c r="AA10" s="3" t="inlineStr">
        <x:is>
          <x:t xml:space="preserve">是</x:t>
        </x:is>
      </x:c>
      <x:c r="AB10" s="3" t="inlineStr">
        <x:is>
          <x:t xml:space="preserve">初级</x:t>
        </x:is>
      </x:c>
      <x:c r="AC10" s="6" t="inlineStr">
        <x:is>
          <x:t xml:space="preserve"/>
        </x:is>
      </x:c>
      <x:c r="AD10" s="8">
        <x:f>IF(T10="观察",1,IF(T10="普通转诊",2,IF(T10="尽快转诊",3,IF(T10="紧急",4,""))))</x:f>
        <x:v>1</x:v>
      </x:c>
      <x:c r="AE10" s="8" t="str">
        <x:f>IF(AA10="否","review",IF(R10="是","train_core",IF(S10="有","train_core","train_expand")))</x:f>
        <x:v>train_core</x:v>
      </x:c>
      <x:c r="AF10" s="8" t="str">
        <x:f>IF(AD10&gt;=4,"P1",IF(AD10=3,"P1",IF(AD10=2,"P2","P3")))</x:f>
        <x:v>P3</x:v>
      </x:c>
    </x:row>
    <x:row r="11">
      <x:c r="A11" s="5" t="inlineStr">
        <x:is>
          <x:t xml:space="preserve">CASE0010</x:t>
        </x:is>
      </x:c>
      <x:c r="B11" s="5" t="n">
        <x:v>10</x:v>
      </x:c>
      <x:c r="C11" s="5" t="inlineStr">
        <x:is>
          <x:t xml:space="preserve">PT010</x:t>
        </x:is>
      </x:c>
      <x:c r="D11" s="5" t="inlineStr">
        <x:is>
          <x:t xml:space="preserve">20230211114525-曾辉-大体图像-胸部.jpg</x:t>
        </x:is>
      </x:c>
      <x:c r="E11" s="6" t="inlineStr">
        <x:is>
          <x:t xml:space="preserve">./images/20230211114525-曾辉-大体图像-胸部.jpg</x:t>
        </x:is>
      </x:c>
      <x:c r="F11" s="5" t="inlineStr">
        <x:is>
          <x:t xml:space="preserve">皮蛋_种子病例库_v1</x:t>
        </x:is>
      </x:c>
      <x:c r="G11" s="5" t="inlineStr">
        <x:is>
          <x:t xml:space="preserve">玫瑰糠疹</x:t>
        </x:is>
      </x:c>
      <x:c r="H11" s="3" t="inlineStr">
        <x:is>
          <x:t xml:space="preserve">典型图</x:t>
        </x:is>
      </x:c>
      <x:c r="I11" s="5" t="inlineStr">
        <x:is>
          <x:t xml:space="preserve">炎症性皮肤病</x:t>
        </x:is>
      </x:c>
      <x:c r="J11" s="5" t="inlineStr">
        <x:is>
          <x:t xml:space="preserve">玫瑰糠疹</x:t>
        </x:is>
      </x:c>
      <x:c r="K11" s="5" t="inlineStr">
        <x:is>
          <x:t xml:space="preserve">玫瑰糠疹</x:t>
        </x:is>
      </x:c>
      <x:c r="L11" s="6" t="inlineStr">
        <x:is>
          <x:t xml:space="preserve">玫瑰糠疹</x:t>
        </x:is>
      </x:c>
      <x:c r="M11" s="6" t="inlineStr">
        <x:is>
          <x:t xml:space="preserve">工作标签-可先用于系统</x:t>
        </x:is>
      </x:c>
      <x:c r="N11" s="6" t="inlineStr">
        <x:is>
          <x:t xml:space="preserve">未知</x:t>
        </x:is>
      </x:c>
      <x:c r="O11" s="3" t="inlineStr">
        <x:is>
          <x:t xml:space="preserve">胸部/躯干</x:t>
        </x:is>
      </x:c>
      <x:c r="P11" s="3" t="inlineStr">
        <x:is>
          <x:t xml:space="preserve">大体图像</x:t>
        </x:is>
      </x:c>
      <x:c r="Q11" s="3" t="inlineStr">
        <x:is>
          <x:t xml:space="preserve">好</x:t>
        </x:is>
      </x:c>
      <x:c r="R11" s="3" t="inlineStr">
        <x:is>
          <x:t xml:space="preserve">是</x:t>
        </x:is>
      </x:c>
      <x:c r="S11" s="3" t="inlineStr">
        <x:is>
          <x:t xml:space="preserve">无</x:t>
        </x:is>
      </x:c>
      <x:c r="T11" s="3" t="inlineStr">
        <x:is>
          <x:t xml:space="preserve">观察</x:t>
        </x:is>
      </x:c>
      <x:c r="U11" s="3" t="inlineStr">
        <x:is>
          <x:t xml:space="preserve">玫瑰糠疹</x:t>
        </x:is>
      </x:c>
      <x:c r="V11" s="3" t="inlineStr">
        <x:is>
          <x:t xml:space="preserve">药疹</x:t>
        </x:is>
      </x:c>
      <x:c r="W11" s="3" t="inlineStr">
        <x:is>
          <x:t xml:space="preserve">药疹/病毒疹</x:t>
        </x:is>
      </x:c>
      <x:c r="X11" s="3" t="inlineStr">
        <x:is>
          <x:t xml:space="preserve">胸前/躯干广泛散在斑丘疹</x:t>
        </x:is>
      </x:c>
      <x:c r="Y11" s="3" t="inlineStr">
        <x:is>
          <x:t xml:space="preserve">训练对胸前、躯干多发斑丘疹的整体识别能力。</x:t>
        </x:is>
      </x:c>
      <x:c r="Z11" s="3" t="inlineStr">
        <x:is>
          <x:t xml:space="preserve">该图可作为玫瑰糠疹训练材料，重点在于多发、分散、躯干部位优势分布。</x:t>
        </x:is>
      </x:c>
      <x:c r="AA11" s="3" t="inlineStr">
        <x:is>
          <x:t xml:space="preserve">是</x:t>
        </x:is>
      </x:c>
      <x:c r="AB11" s="3" t="inlineStr">
        <x:is>
          <x:t xml:space="preserve">初级</x:t>
        </x:is>
      </x:c>
      <x:c r="AC11" s="6" t="inlineStr">
        <x:is>
          <x:t xml:space="preserve"/>
        </x:is>
      </x:c>
      <x:c r="AD11" s="8">
        <x:f>IF(T11="观察",1,IF(T11="普通转诊",2,IF(T11="尽快转诊",3,IF(T11="紧急",4,""))))</x:f>
        <x:v>1</x:v>
      </x:c>
      <x:c r="AE11" s="8" t="str">
        <x:f>IF(AA11="否","review",IF(R11="是","train_core",IF(S11="有","train_core","train_expand")))</x:f>
        <x:v>train_core</x:v>
      </x:c>
      <x:c r="AF11" s="8" t="str">
        <x:f>IF(AD11&gt;=4,"P1",IF(AD11=3,"P1",IF(AD11=2,"P2","P3")))</x:f>
        <x:v>P3</x:v>
      </x:c>
    </x:row>
    <x:row r="12">
      <x:c r="A12" s="5" t="inlineStr">
        <x:is>
          <x:t xml:space="preserve">CASE0011</x:t>
        </x:is>
      </x:c>
      <x:c r="B12" s="5" t="n">
        <x:v>11</x:v>
      </x:c>
      <x:c r="C12" s="5" t="inlineStr">
        <x:is>
          <x:t xml:space="preserve">PT011</x:t>
        </x:is>
      </x:c>
      <x:c r="D12" s="5" t="inlineStr">
        <x:is>
          <x:t xml:space="preserve">20230220145506-黄思薇-大体图像-躯干.jpg</x:t>
        </x:is>
      </x:c>
      <x:c r="E12" s="6" t="inlineStr">
        <x:is>
          <x:t xml:space="preserve">./images/20230220145506-黄思薇-大体图像-躯干.jpg</x:t>
        </x:is>
      </x:c>
      <x:c r="F12" s="5" t="inlineStr">
        <x:is>
          <x:t xml:space="preserve">皮蛋_种子病例库_v1</x:t>
        </x:is>
      </x:c>
      <x:c r="G12" s="5" t="inlineStr">
        <x:is>
          <x:t xml:space="preserve">玫瑰糠疹</x:t>
        </x:is>
      </x:c>
      <x:c r="H12" s="3" t="inlineStr">
        <x:is>
          <x:t xml:space="preserve">典型图</x:t>
        </x:is>
      </x:c>
      <x:c r="I12" s="5" t="inlineStr">
        <x:is>
          <x:t xml:space="preserve">炎症性皮肤病</x:t>
        </x:is>
      </x:c>
      <x:c r="J12" s="5" t="inlineStr">
        <x:is>
          <x:t xml:space="preserve">玫瑰糠疹</x:t>
        </x:is>
      </x:c>
      <x:c r="K12" s="5" t="inlineStr">
        <x:is>
          <x:t xml:space="preserve">玫瑰糠疹</x:t>
        </x:is>
      </x:c>
      <x:c r="L12" s="6" t="inlineStr">
        <x:is>
          <x:t xml:space="preserve">玫瑰糠疹</x:t>
        </x:is>
      </x:c>
      <x:c r="M12" s="6" t="inlineStr">
        <x:is>
          <x:t xml:space="preserve">工作标签-可先用于系统</x:t>
        </x:is>
      </x:c>
      <x:c r="N12" s="6" t="inlineStr">
        <x:is>
          <x:t xml:space="preserve">未知</x:t>
        </x:is>
      </x:c>
      <x:c r="O12" s="3" t="inlineStr">
        <x:is>
          <x:t xml:space="preserve">躯干</x:t>
        </x:is>
      </x:c>
      <x:c r="P12" s="3" t="inlineStr">
        <x:is>
          <x:t xml:space="preserve">大体图像</x:t>
        </x:is>
      </x:c>
      <x:c r="Q12" s="3" t="inlineStr">
        <x:is>
          <x:t xml:space="preserve">好</x:t>
        </x:is>
      </x:c>
      <x:c r="R12" s="3" t="inlineStr">
        <x:is>
          <x:t xml:space="preserve">是</x:t>
        </x:is>
      </x:c>
      <x:c r="S12" s="3" t="inlineStr">
        <x:is>
          <x:t xml:space="preserve">无</x:t>
        </x:is>
      </x:c>
      <x:c r="T12" s="3" t="inlineStr">
        <x:is>
          <x:t xml:space="preserve">观察</x:t>
        </x:is>
      </x:c>
      <x:c r="U12" s="3" t="inlineStr">
        <x:is>
          <x:t xml:space="preserve">玫瑰糠疹</x:t>
        </x:is>
      </x:c>
      <x:c r="V12" s="3" t="inlineStr">
        <x:is>
          <x:t xml:space="preserve">体癣</x:t>
        </x:is>
      </x:c>
      <x:c r="W12" s="3" t="inlineStr">
        <x:is>
          <x:t xml:space="preserve">体癣/多形红斑</x:t>
        </x:is>
      </x:c>
      <x:c r="X12" s="3" t="inlineStr">
        <x:is>
          <x:t xml:space="preserve">躯干多发椭圆形红斑或斑片</x:t>
        </x:is>
      </x:c>
      <x:c r="Y12" s="3" t="inlineStr">
        <x:is>
          <x:t xml:space="preserve">多发椭圆形或环样斑片时，既要看单发外观，也要看全身分布格局。</x:t>
        </x:is>
      </x:c>
      <x:c r="Z12" s="3" t="inlineStr">
        <x:is>
          <x:t xml:space="preserve">该图可作为玫瑰糠疹示例，教学时适合讲“单个皮损像什么”和“整体分布像什么”的区别。</x:t>
        </x:is>
      </x:c>
      <x:c r="AA12" s="3" t="inlineStr">
        <x:is>
          <x:t xml:space="preserve">是</x:t>
        </x:is>
      </x:c>
      <x:c r="AB12" s="3" t="inlineStr">
        <x:is>
          <x:t xml:space="preserve">初级</x:t>
        </x:is>
      </x:c>
      <x:c r="AC12" s="6" t="inlineStr">
        <x:is>
          <x:t xml:space="preserve"/>
        </x:is>
      </x:c>
      <x:c r="AD12" s="8">
        <x:f>IF(T12="观察",1,IF(T12="普通转诊",2,IF(T12="尽快转诊",3,IF(T12="紧急",4,""))))</x:f>
        <x:v>1</x:v>
      </x:c>
      <x:c r="AE12" s="8" t="str">
        <x:f>IF(AA12="否","review",IF(R12="是","train_core",IF(S12="有","train_core","train_expand")))</x:f>
        <x:v>train_core</x:v>
      </x:c>
      <x:c r="AF12" s="8" t="str">
        <x:f>IF(AD12&gt;=4,"P1",IF(AD12=3,"P1",IF(AD12=2,"P2","P3")))</x:f>
        <x:v>P3</x:v>
      </x:c>
    </x:row>
    <x:row r="13">
      <x:c r="A13" s="5" t="inlineStr">
        <x:is>
          <x:t xml:space="preserve">CASE0012</x:t>
        </x:is>
      </x:c>
      <x:c r="B13" s="5" t="n">
        <x:v>12</x:v>
      </x:c>
      <x:c r="C13" s="5" t="inlineStr">
        <x:is>
          <x:t xml:space="preserve">PT012</x:t>
        </x:is>
      </x:c>
      <x:c r="D13" s="5" t="inlineStr">
        <x:is>
          <x:t xml:space="preserve">20230412155604-何传松-大体图像-躯干.jpg</x:t>
        </x:is>
      </x:c>
      <x:c r="E13" s="6" t="inlineStr">
        <x:is>
          <x:t xml:space="preserve">./images/20230412155604-何传松-大体图像-躯干.jpg</x:t>
        </x:is>
      </x:c>
      <x:c r="F13" s="5" t="inlineStr">
        <x:is>
          <x:t xml:space="preserve">皮蛋_种子病例库_v1</x:t>
        </x:is>
      </x:c>
      <x:c r="G13" s="5" t="inlineStr">
        <x:is>
          <x:t xml:space="preserve">玫瑰糠疹</x:t>
        </x:is>
      </x:c>
      <x:c r="H13" s="3" t="inlineStr">
        <x:is>
          <x:t xml:space="preserve">典型图</x:t>
        </x:is>
      </x:c>
      <x:c r="I13" s="5" t="inlineStr">
        <x:is>
          <x:t xml:space="preserve">炎症性皮肤病</x:t>
        </x:is>
      </x:c>
      <x:c r="J13" s="5" t="inlineStr">
        <x:is>
          <x:t xml:space="preserve">玫瑰糠疹</x:t>
        </x:is>
      </x:c>
      <x:c r="K13" s="5" t="inlineStr">
        <x:is>
          <x:t xml:space="preserve">玫瑰糠疹</x:t>
        </x:is>
      </x:c>
      <x:c r="L13" s="6" t="inlineStr">
        <x:is>
          <x:t xml:space="preserve">玫瑰糠疹</x:t>
        </x:is>
      </x:c>
      <x:c r="M13" s="6" t="inlineStr">
        <x:is>
          <x:t xml:space="preserve">工作标签-可先用于系统</x:t>
        </x:is>
      </x:c>
      <x:c r="N13" s="6" t="inlineStr">
        <x:is>
          <x:t xml:space="preserve">未知</x:t>
        </x:is>
      </x:c>
      <x:c r="O13" s="3" t="inlineStr">
        <x:is>
          <x:t xml:space="preserve">躯干/背部</x:t>
        </x:is>
      </x:c>
      <x:c r="P13" s="3" t="inlineStr">
        <x:is>
          <x:t xml:space="preserve">大体图像</x:t>
        </x:is>
      </x:c>
      <x:c r="Q13" s="3" t="inlineStr">
        <x:is>
          <x:t xml:space="preserve">好</x:t>
        </x:is>
      </x:c>
      <x:c r="R13" s="3" t="inlineStr">
        <x:is>
          <x:t xml:space="preserve">是</x:t>
        </x:is>
      </x:c>
      <x:c r="S13" s="3" t="inlineStr">
        <x:is>
          <x:t xml:space="preserve">无</x:t>
        </x:is>
      </x:c>
      <x:c r="T13" s="3" t="inlineStr">
        <x:is>
          <x:t xml:space="preserve">观察</x:t>
        </x:is>
      </x:c>
      <x:c r="U13" s="3" t="inlineStr">
        <x:is>
          <x:t xml:space="preserve">玫瑰糠疹</x:t>
        </x:is>
      </x:c>
      <x:c r="V13" s="3" t="inlineStr">
        <x:is>
          <x:t xml:space="preserve">非特异性斑丘疹</x:t>
        </x:is>
      </x:c>
      <x:c r="W13" s="3" t="inlineStr">
        <x:is>
          <x:t xml:space="preserve">病毒疹/药疹</x:t>
        </x:is>
      </x:c>
      <x:c r="X13" s="3" t="inlineStr">
        <x:is>
          <x:t xml:space="preserve">躯干散在淡红色斑片</x:t>
        </x:is>
      </x:c>
      <x:c r="Y13" s="3" t="inlineStr">
        <x:is>
          <x:t xml:space="preserve">学会从躯干部位多发淡红色斑片整体判断良性自限性方向。</x:t>
        </x:is>
      </x:c>
      <x:c r="Z13" s="3" t="inlineStr">
        <x:is>
          <x:t xml:space="preserve">该图可纳入玫瑰糠疹教学组，重点是训练基层医生建立整体分布与病程思维。</x:t>
        </x:is>
      </x:c>
      <x:c r="AA13" s="3" t="inlineStr">
        <x:is>
          <x:t xml:space="preserve">是</x:t>
        </x:is>
      </x:c>
      <x:c r="AB13" s="3" t="inlineStr">
        <x:is>
          <x:t xml:space="preserve">初级</x:t>
        </x:is>
      </x:c>
      <x:c r="AC13" s="6" t="inlineStr">
        <x:is>
          <x:t xml:space="preserve"/>
        </x:is>
      </x:c>
      <x:c r="AD13" s="8">
        <x:f>IF(T13="观察",1,IF(T13="普通转诊",2,IF(T13="尽快转诊",3,IF(T13="紧急",4,""))))</x:f>
        <x:v>1</x:v>
      </x:c>
      <x:c r="AE13" s="8" t="str">
        <x:f>IF(AA13="否","review",IF(R13="是","train_core",IF(S13="有","train_core","train_expand")))</x:f>
        <x:v>train_core</x:v>
      </x:c>
      <x:c r="AF13" s="8" t="str">
        <x:f>IF(AD13&gt;=4,"P1",IF(AD13=3,"P1",IF(AD13=2,"P2","P3")))</x:f>
        <x:v>P3</x:v>
      </x:c>
    </x:row>
    <x:row r="14">
      <x:c r="A14" s="5" t="inlineStr">
        <x:is>
          <x:t xml:space="preserve">CASE0013</x:t>
        </x:is>
      </x:c>
      <x:c r="B14" s="5" t="n">
        <x:v>13</x:v>
      </x:c>
      <x:c r="C14" s="5" t="inlineStr">
        <x:is>
          <x:t xml:space="preserve">PT013</x:t>
        </x:is>
      </x:c>
      <x:c r="D14" s="5" t="inlineStr">
        <x:is>
          <x:t xml:space="preserve">20230308115453-李丹妮-大体图像-面部.jpg</x:t>
        </x:is>
      </x:c>
      <x:c r="E14" s="6" t="inlineStr">
        <x:is>
          <x:t xml:space="preserve">./images/20230308115453-李丹妮-大体图像-面部.jpg</x:t>
        </x:is>
      </x:c>
      <x:c r="F14" s="5" t="inlineStr">
        <x:is>
          <x:t xml:space="preserve">皮蛋_种子病例库_v1</x:t>
        </x:is>
      </x:c>
      <x:c r="G14" s="5" t="inlineStr">
        <x:is>
          <x:t xml:space="preserve">脂溢性皮炎</x:t>
        </x:is>
      </x:c>
      <x:c r="H14" s="7" t="inlineStr">
        <x:is>
          <x:t xml:space="preserve">易混淆图</x:t>
        </x:is>
      </x:c>
      <x:c r="I14" s="5" t="inlineStr">
        <x:is>
          <x:t xml:space="preserve">炎症性皮肤病</x:t>
        </x:is>
      </x:c>
      <x:c r="J14" s="5" t="inlineStr">
        <x:is>
          <x:t xml:space="preserve">脂溢性皮炎</x:t>
        </x:is>
      </x:c>
      <x:c r="K14" s="5" t="inlineStr">
        <x:is>
          <x:t xml:space="preserve">脂溢性皮炎</x:t>
        </x:is>
      </x:c>
      <x:c r="L14" s="6" t="inlineStr">
        <x:is>
          <x:t xml:space="preserve">脂溢性皮炎</x:t>
        </x:is>
      </x:c>
      <x:c r="M14" s="6" t="inlineStr">
        <x:is>
          <x:t xml:space="preserve">工作标签-待终审</x:t>
        </x:is>
      </x:c>
      <x:c r="N14" s="6" t="inlineStr">
        <x:is>
          <x:t xml:space="preserve">未知</x:t>
        </x:is>
      </x:c>
      <x:c r="O14" s="3" t="inlineStr">
        <x:is>
          <x:t xml:space="preserve">面部</x:t>
        </x:is>
      </x:c>
      <x:c r="P14" s="3" t="inlineStr">
        <x:is>
          <x:t xml:space="preserve">大体图像</x:t>
        </x:is>
      </x:c>
      <x:c r="Q14" s="3" t="inlineStr">
        <x:is>
          <x:t xml:space="preserve">好</x:t>
        </x:is>
      </x:c>
      <x:c r="R14" s="3" t="inlineStr">
        <x:is>
          <x:t xml:space="preserve">否</x:t>
        </x:is>
      </x:c>
      <x:c r="S14" s="3" t="inlineStr">
        <x:is>
          <x:t xml:space="preserve">无</x:t>
        </x:is>
      </x:c>
      <x:c r="T14" s="3" t="inlineStr">
        <x:is>
          <x:t xml:space="preserve">观察</x:t>
        </x:is>
      </x:c>
      <x:c r="U14" s="3" t="inlineStr">
        <x:is>
          <x:t xml:space="preserve">脂溢性皮炎</x:t>
        </x:is>
      </x:c>
      <x:c r="V14" s="3" t="inlineStr">
        <x:is>
          <x:t xml:space="preserve">面部轻度皮炎</x:t>
        </x:is>
      </x:c>
      <x:c r="W14" s="3" t="inlineStr">
        <x:is>
          <x:t xml:space="preserve">痤疮/敏感肌红斑</x:t>
        </x:is>
      </x:c>
      <x:c r="X14" s="3" t="inlineStr">
        <x:is>
          <x:t xml:space="preserve">面部轻度红斑/油腻区受累信息有限</x:t>
        </x:is>
      </x:c>
      <x:c r="Y14" s="3" t="inlineStr">
        <x:is>
          <x:t xml:space="preserve">面部皮损较轻时，要训练村医认识到图像信息可能不足，需要补充病史和近景。</x:t>
        </x:is>
      </x:c>
      <x:c r="Z14" s="3" t="inlineStr">
        <x:is>
          <x:t xml:space="preserve">按用户当前分组归入脂溢性皮炎，但表现较轻，更适合做“信息不足时如何判断”的训练图。</x:t>
        </x:is>
      </x:c>
      <x:c r="AA14" s="3" t="inlineStr">
        <x:is>
          <x:t xml:space="preserve">是</x:t>
        </x:is>
      </x:c>
      <x:c r="AB14" s="3" t="inlineStr">
        <x:is>
          <x:t xml:space="preserve">中级</x:t>
        </x:is>
      </x:c>
      <x:c r="AC14" s="6" t="inlineStr">
        <x:is>
          <x:t xml:space="preserve">建议补拍局部近景。</x:t>
        </x:is>
      </x:c>
      <x:c r="AD14" s="8">
        <x:f>IF(T14="观察",1,IF(T14="普通转诊",2,IF(T14="尽快转诊",3,IF(T14="紧急",4,""))))</x:f>
        <x:v>1</x:v>
      </x:c>
      <x:c r="AE14" s="8" t="str">
        <x:f>IF(AA14="否","review",IF(R14="是","train_core",IF(S14="有","train_core","train_expand")))</x:f>
        <x:v>train_expand</x:v>
      </x:c>
      <x:c r="AF14" s="8" t="str">
        <x:f>IF(AD14&gt;=4,"P1",IF(AD14=3,"P1",IF(AD14=2,"P2","P3")))</x:f>
        <x:v>P3</x:v>
      </x:c>
    </x:row>
    <x:row r="15">
      <x:c r="A15" s="5" t="inlineStr">
        <x:is>
          <x:t xml:space="preserve">CASE0014</x:t>
        </x:is>
      </x:c>
      <x:c r="B15" s="5" t="n">
        <x:v>14</x:v>
      </x:c>
      <x:c r="C15" s="5" t="inlineStr">
        <x:is>
          <x:t xml:space="preserve">PT014</x:t>
        </x:is>
      </x:c>
      <x:c r="D15" s="5" t="inlineStr">
        <x:is>
          <x:t xml:space="preserve">20230311162013-孙晨畅-大体图像-面部.jpg</x:t>
        </x:is>
      </x:c>
      <x:c r="E15" s="6" t="inlineStr">
        <x:is>
          <x:t xml:space="preserve">./images/20230311162013-孙晨畅-大体图像-面部.jpg</x:t>
        </x:is>
      </x:c>
      <x:c r="F15" s="5" t="inlineStr">
        <x:is>
          <x:t xml:space="preserve">皮蛋_种子病例库_v1</x:t>
        </x:is>
      </x:c>
      <x:c r="G15" s="5" t="inlineStr">
        <x:is>
          <x:t xml:space="preserve">脂溢性皮炎</x:t>
        </x:is>
      </x:c>
      <x:c r="H15" s="7" t="inlineStr">
        <x:is>
          <x:t xml:space="preserve">差质量图</x:t>
        </x:is>
      </x:c>
      <x:c r="I15" s="5" t="inlineStr">
        <x:is>
          <x:t xml:space="preserve">炎症性皮肤病</x:t>
        </x:is>
      </x:c>
      <x:c r="J15" s="5" t="inlineStr">
        <x:is>
          <x:t xml:space="preserve">脂溢性皮炎</x:t>
        </x:is>
      </x:c>
      <x:c r="K15" s="5" t="inlineStr">
        <x:is>
          <x:t xml:space="preserve">脂溢性皮炎</x:t>
        </x:is>
      </x:c>
      <x:c r="L15" s="6" t="inlineStr">
        <x:is>
          <x:t xml:space="preserve">脂溢性皮炎</x:t>
        </x:is>
      </x:c>
      <x:c r="M15" s="6" t="inlineStr">
        <x:is>
          <x:t xml:space="preserve">工作标签-待终审</x:t>
        </x:is>
      </x:c>
      <x:c r="N15" s="6" t="inlineStr">
        <x:is>
          <x:t xml:space="preserve">未知</x:t>
        </x:is>
      </x:c>
      <x:c r="O15" s="3" t="inlineStr">
        <x:is>
          <x:t xml:space="preserve">面部</x:t>
        </x:is>
      </x:c>
      <x:c r="P15" s="3" t="inlineStr">
        <x:is>
          <x:t xml:space="preserve">大体图像</x:t>
        </x:is>
      </x:c>
      <x:c r="Q15" s="3" t="inlineStr">
        <x:is>
          <x:t xml:space="preserve">一般</x:t>
        </x:is>
      </x:c>
      <x:c r="R15" s="3" t="inlineStr">
        <x:is>
          <x:t xml:space="preserve">否</x:t>
        </x:is>
      </x:c>
      <x:c r="S15" s="3" t="inlineStr">
        <x:is>
          <x:t xml:space="preserve">无</x:t>
        </x:is>
      </x:c>
      <x:c r="T15" s="3" t="inlineStr">
        <x:is>
          <x:t xml:space="preserve">观察</x:t>
        </x:is>
      </x:c>
      <x:c r="U15" s="3" t="inlineStr">
        <x:is>
          <x:t xml:space="preserve">脂溢性皮炎</x:t>
        </x:is>
      </x:c>
      <x:c r="V15" s="3" t="inlineStr">
        <x:is>
          <x:t xml:space="preserve">无明显活动性皮损</x:t>
        </x:is>
      </x:c>
      <x:c r="W15" s="3" t="inlineStr">
        <x:is>
          <x:t xml:space="preserve">正常皮肤/轻度刺激反应</x:t>
        </x:is>
      </x:c>
      <x:c r="X15" s="3" t="inlineStr">
        <x:is>
          <x:t xml:space="preserve">面部皮损轻，图像判读信息不足</x:t>
        </x:is>
      </x:c>
      <x:c r="Y15" s="3" t="inlineStr">
        <x:is>
          <x:t xml:space="preserve">训练村医识别“图像不足以判读”的场景，而不是强行下结论。</x:t>
        </x:is>
      </x:c>
      <x:c r="Z15" s="3" t="inlineStr">
        <x:is>
          <x:t xml:space="preserve">该图局部皮损信息有限，可作为拍照质量和信息充分性训练材料，教学价值在于提醒补拍与追问。</x:t>
        </x:is>
      </x:c>
      <x:c r="AA15" s="3" t="inlineStr">
        <x:is>
          <x:t xml:space="preserve">是</x:t>
        </x:is>
      </x:c>
      <x:c r="AB15" s="3" t="inlineStr">
        <x:is>
          <x:t xml:space="preserve">中级</x:t>
        </x:is>
      </x:c>
      <x:c r="AC15" s="6" t="inlineStr">
        <x:is>
          <x:t xml:space="preserve"/>
        </x:is>
      </x:c>
      <x:c r="AD15" s="8">
        <x:f>IF(T15="观察",1,IF(T15="普通转诊",2,IF(T15="尽快转诊",3,IF(T15="紧急",4,""))))</x:f>
        <x:v>1</x:v>
      </x:c>
      <x:c r="AE15" s="8" t="str">
        <x:f>IF(AA15="否","review",IF(R15="是","train_core",IF(S15="有","train_core","train_expand")))</x:f>
        <x:v>train_expand</x:v>
      </x:c>
      <x:c r="AF15" s="8" t="str">
        <x:f>IF(AD15&gt;=4,"P1",IF(AD15=3,"P1",IF(AD15=2,"P2","P3")))</x:f>
        <x:v>P3</x:v>
      </x:c>
    </x:row>
    <x:row r="16">
      <x:c r="A16" s="5" t="inlineStr">
        <x:is>
          <x:t xml:space="preserve">CASE0015</x:t>
        </x:is>
      </x:c>
      <x:c r="B16" s="5" t="n">
        <x:v>15</x:v>
      </x:c>
      <x:c r="C16" s="5" t="inlineStr">
        <x:is>
          <x:t xml:space="preserve">PT015</x:t>
        </x:is>
      </x:c>
      <x:c r="D16" s="5" t="inlineStr">
        <x:is>
          <x:t xml:space="preserve">20230510114529-杨涛-大体图像-额部.jpg</x:t>
        </x:is>
      </x:c>
      <x:c r="E16" s="6" t="inlineStr">
        <x:is>
          <x:t xml:space="preserve">./images/20230510114529-杨涛-大体图像-额部.jpg</x:t>
        </x:is>
      </x:c>
      <x:c r="F16" s="5" t="inlineStr">
        <x:is>
          <x:t xml:space="preserve">皮蛋_种子病例库_v1</x:t>
        </x:is>
      </x:c>
      <x:c r="G16" s="5" t="inlineStr">
        <x:is>
          <x:t xml:space="preserve">脂溢性皮炎</x:t>
        </x:is>
      </x:c>
      <x:c r="H16" s="7" t="inlineStr">
        <x:is>
          <x:t xml:space="preserve">差质量图</x:t>
        </x:is>
      </x:c>
      <x:c r="I16" s="5" t="inlineStr">
        <x:is>
          <x:t xml:space="preserve">炎症性皮肤病</x:t>
        </x:is>
      </x:c>
      <x:c r="J16" s="5" t="inlineStr">
        <x:is>
          <x:t xml:space="preserve">脂溢性皮炎</x:t>
        </x:is>
      </x:c>
      <x:c r="K16" s="5" t="inlineStr">
        <x:is>
          <x:t xml:space="preserve">脂溢性皮炎</x:t>
        </x:is>
      </x:c>
      <x:c r="L16" s="6" t="inlineStr">
        <x:is>
          <x:t xml:space="preserve">脂溢性皮炎</x:t>
        </x:is>
      </x:c>
      <x:c r="M16" s="6" t="inlineStr">
        <x:is>
          <x:t xml:space="preserve">工作标签-待终审</x:t>
        </x:is>
      </x:c>
      <x:c r="N16" s="6" t="inlineStr">
        <x:is>
          <x:t xml:space="preserve">未知</x:t>
        </x:is>
      </x:c>
      <x:c r="O16" s="3" t="inlineStr">
        <x:is>
          <x:t xml:space="preserve">额部/发际</x:t>
        </x:is>
      </x:c>
      <x:c r="P16" s="3" t="inlineStr">
        <x:is>
          <x:t xml:space="preserve">大体图像</x:t>
        </x:is>
      </x:c>
      <x:c r="Q16" s="3" t="inlineStr">
        <x:is>
          <x:t xml:space="preserve">一般</x:t>
        </x:is>
      </x:c>
      <x:c r="R16" s="3" t="inlineStr">
        <x:is>
          <x:t xml:space="preserve">否</x:t>
        </x:is>
      </x:c>
      <x:c r="S16" s="3" t="inlineStr">
        <x:is>
          <x:t xml:space="preserve">无</x:t>
        </x:is>
      </x:c>
      <x:c r="T16" s="3" t="inlineStr">
        <x:is>
          <x:t xml:space="preserve">观察</x:t>
        </x:is>
      </x:c>
      <x:c r="U16" s="3" t="inlineStr">
        <x:is>
          <x:t xml:space="preserve">脂溢性皮炎</x:t>
        </x:is>
      </x:c>
      <x:c r="V16" s="3" t="inlineStr">
        <x:is>
          <x:t xml:space="preserve">轻度毛囊炎/痤疮样皮疹</x:t>
        </x:is>
      </x:c>
      <x:c r="W16" s="3" t="inlineStr">
        <x:is>
          <x:t xml:space="preserve">毛囊炎/痤疮</x:t>
        </x:is>
      </x:c>
      <x:c r="X16" s="3" t="inlineStr">
        <x:is>
          <x:t xml:space="preserve">额部/发际局部轻度皮损</x:t>
        </x:is>
      </x:c>
      <x:c r="Y16" s="3" t="inlineStr">
        <x:is>
          <x:t xml:space="preserve">额部和发际受累时，训练对脂溢区分布的认识，但前提是图像要足够清晰。</x:t>
        </x:is>
      </x:c>
      <x:c r="Z16" s="3" t="inlineStr">
        <x:is>
          <x:t xml:space="preserve">按用户当前分组归入脂溢性皮炎，但图像更适合用于训练“如何补拍更有判读价值”。</x:t>
        </x:is>
      </x:c>
      <x:c r="AA16" s="3" t="inlineStr">
        <x:is>
          <x:t xml:space="preserve">是</x:t>
        </x:is>
      </x:c>
      <x:c r="AB16" s="3" t="inlineStr">
        <x:is>
          <x:t xml:space="preserve">中级</x:t>
        </x:is>
      </x:c>
      <x:c r="AC16" s="6" t="inlineStr">
        <x:is>
          <x:t xml:space="preserve"/>
        </x:is>
      </x:c>
      <x:c r="AD16" s="8">
        <x:f>IF(T16="观察",1,IF(T16="普通转诊",2,IF(T16="尽快转诊",3,IF(T16="紧急",4,""))))</x:f>
        <x:v>1</x:v>
      </x:c>
      <x:c r="AE16" s="8" t="str">
        <x:f>IF(AA16="否","review",IF(R16="是","train_core",IF(S16="有","train_core","train_expand")))</x:f>
        <x:v>train_expand</x:v>
      </x:c>
      <x:c r="AF16" s="8" t="str">
        <x:f>IF(AD16&gt;=4,"P1",IF(AD16=3,"P1",IF(AD16=2,"P2","P3")))</x:f>
        <x:v>P3</x:v>
      </x:c>
    </x:row>
    <x:row r="17">
      <x:c r="A17" s="5" t="inlineStr">
        <x:is>
          <x:t xml:space="preserve">CASE0016</x:t>
        </x:is>
      </x:c>
      <x:c r="B17" s="5" t="n">
        <x:v>16</x:v>
      </x:c>
      <x:c r="C17" s="5" t="inlineStr">
        <x:is>
          <x:t xml:space="preserve">PT016</x:t>
        </x:is>
      </x:c>
      <x:c r="D17" s="5" t="inlineStr">
        <x:is>
          <x:t xml:space="preserve">20230516152906-龚长生-大体图像-面部.jpg</x:t>
        </x:is>
      </x:c>
      <x:c r="E17" s="6" t="inlineStr">
        <x:is>
          <x:t xml:space="preserve">./images/20230516152906-龚长生-大体图像-面部.jpg</x:t>
        </x:is>
      </x:c>
      <x:c r="F17" s="5" t="inlineStr">
        <x:is>
          <x:t xml:space="preserve">皮蛋_种子病例库_v1</x:t>
        </x:is>
      </x:c>
      <x:c r="G17" s="5" t="inlineStr">
        <x:is>
          <x:t xml:space="preserve">脂溢性皮炎</x:t>
        </x:is>
      </x:c>
      <x:c r="H17" s="7" t="inlineStr">
        <x:is>
          <x:t xml:space="preserve">易混淆图</x:t>
        </x:is>
      </x:c>
      <x:c r="I17" s="5" t="inlineStr">
        <x:is>
          <x:t xml:space="preserve">炎症性皮肤病</x:t>
        </x:is>
      </x:c>
      <x:c r="J17" s="5" t="inlineStr">
        <x:is>
          <x:t xml:space="preserve">脂溢性皮炎</x:t>
        </x:is>
      </x:c>
      <x:c r="K17" s="5" t="inlineStr">
        <x:is>
          <x:t xml:space="preserve">脂溢性皮炎</x:t>
        </x:is>
      </x:c>
      <x:c r="L17" s="6" t="inlineStr">
        <x:is>
          <x:t xml:space="preserve">脂溢性皮炎</x:t>
        </x:is>
      </x:c>
      <x:c r="M17" s="6" t="inlineStr">
        <x:is>
          <x:t xml:space="preserve">工作标签-待终审</x:t>
        </x:is>
      </x:c>
      <x:c r="N17" s="6" t="inlineStr">
        <x:is>
          <x:t xml:space="preserve">未知</x:t>
        </x:is>
      </x:c>
      <x:c r="O17" s="3" t="inlineStr">
        <x:is>
          <x:t xml:space="preserve">面部</x:t>
        </x:is>
      </x:c>
      <x:c r="P17" s="3" t="inlineStr">
        <x:is>
          <x:t xml:space="preserve">大体图像</x:t>
        </x:is>
      </x:c>
      <x:c r="Q17" s="3" t="inlineStr">
        <x:is>
          <x:t xml:space="preserve">一般</x:t>
        </x:is>
      </x:c>
      <x:c r="R17" s="3" t="inlineStr">
        <x:is>
          <x:t xml:space="preserve">否</x:t>
        </x:is>
      </x:c>
      <x:c r="S17" s="3" t="inlineStr">
        <x:is>
          <x:t xml:space="preserve">无</x:t>
        </x:is>
      </x:c>
      <x:c r="T17" s="3" t="inlineStr">
        <x:is>
          <x:t xml:space="preserve">观察</x:t>
        </x:is>
      </x:c>
      <x:c r="U17" s="3" t="inlineStr">
        <x:is>
          <x:t xml:space="preserve">脂溢性皮炎</x:t>
        </x:is>
      </x:c>
      <x:c r="V17" s="3" t="inlineStr">
        <x:is>
          <x:t xml:space="preserve">慢性面部皮炎</x:t>
        </x:is>
      </x:c>
      <x:c r="W17" s="3" t="inlineStr">
        <x:is>
          <x:t xml:space="preserve">玫瑰痤疮/接触性皮炎</x:t>
        </x:is>
      </x:c>
      <x:c r="X17" s="3" t="inlineStr">
        <x:is>
          <x:t xml:space="preserve">面部慢性轻度炎症性改变</x:t>
        </x:is>
      </x:c>
      <x:c r="Y17" s="3" t="inlineStr">
        <x:is>
          <x:t xml:space="preserve">面部慢性红斑或轻度脱屑时，训练基层对脂溢区、鼻唇沟、眉间等分布的关注。</x:t>
        </x:is>
      </x:c>
      <x:c r="Z17" s="3" t="inlineStr">
        <x:is>
          <x:t xml:space="preserve">该图不属于非常典型的脂溢性皮炎展示图，但可用于面部炎症性皮损鉴别训练。</x:t>
        </x:is>
      </x:c>
      <x:c r="AA17" s="3" t="inlineStr">
        <x:is>
          <x:t xml:space="preserve">是</x:t>
        </x:is>
      </x:c>
      <x:c r="AB17" s="3" t="inlineStr">
        <x:is>
          <x:t xml:space="preserve">中级</x:t>
        </x:is>
      </x:c>
      <x:c r="AC17" s="6" t="inlineStr">
        <x:is>
          <x:t xml:space="preserve">建议补拍眉间、鼻唇沟近景。</x:t>
        </x:is>
      </x:c>
      <x:c r="AD17" s="8">
        <x:f>IF(T17="观察",1,IF(T17="普通转诊",2,IF(T17="尽快转诊",3,IF(T17="紧急",4,""))))</x:f>
        <x:v>1</x:v>
      </x:c>
      <x:c r="AE17" s="8" t="str">
        <x:f>IF(AA17="否","review",IF(R17="是","train_core",IF(S17="有","train_core","train_expand")))</x:f>
        <x:v>train_expand</x:v>
      </x:c>
      <x:c r="AF17" s="8" t="str">
        <x:f>IF(AD17&gt;=4,"P1",IF(AD17=3,"P1",IF(AD17=2,"P2","P3")))</x:f>
        <x:v>P3</x:v>
      </x:c>
    </x:row>
    <x:row r="18">
      <x:c r="A18" s="5" t="inlineStr">
        <x:is>
          <x:t xml:space="preserve">CASE0017</x:t>
        </x:is>
      </x:c>
      <x:c r="B18" s="5" t="n">
        <x:v>17</x:v>
      </x:c>
      <x:c r="C18" s="5" t="inlineStr">
        <x:is>
          <x:t xml:space="preserve">PT017</x:t>
        </x:is>
      </x:c>
      <x:c r="D18" s="5" t="inlineStr">
        <x:is>
          <x:t xml:space="preserve">图片7.png</x:t>
        </x:is>
      </x:c>
      <x:c r="E18" s="6" t="inlineStr">
        <x:is>
          <x:t xml:space="preserve">./images/图片7.png</x:t>
        </x:is>
      </x:c>
      <x:c r="F18" s="5" t="inlineStr">
        <x:is>
          <x:t xml:space="preserve">皮蛋_种子病例库_v1</x:t>
        </x:is>
      </x:c>
      <x:c r="G18" s="5" t="inlineStr">
        <x:is>
          <x:t xml:space="preserve">黑色素瘤</x:t>
        </x:is>
      </x:c>
      <x:c r="H18" s="7" t="inlineStr">
        <x:is>
          <x:t xml:space="preserve">危险图</x:t>
        </x:is>
      </x:c>
      <x:c r="I18" s="5" t="inlineStr">
        <x:is>
          <x:t xml:space="preserve">肿瘤性皮肤病</x:t>
        </x:is>
      </x:c>
      <x:c r="J18" s="5" t="inlineStr">
        <x:is>
          <x:t xml:space="preserve">黑色素瘤</x:t>
        </x:is>
      </x:c>
      <x:c r="K18" s="5" t="inlineStr">
        <x:is>
          <x:t xml:space="preserve">黑色素瘤</x:t>
        </x:is>
      </x:c>
      <x:c r="L18" s="6" t="inlineStr">
        <x:is>
          <x:t xml:space="preserve">黑色素瘤</x:t>
        </x:is>
      </x:c>
      <x:c r="M18" s="6" t="inlineStr">
        <x:is>
          <x:t xml:space="preserve">工作标签-高危待终审</x:t>
        </x:is>
      </x:c>
      <x:c r="N18" s="6" t="inlineStr">
        <x:is>
          <x:t xml:space="preserve">未知</x:t>
        </x:is>
      </x:c>
      <x:c r="O18" s="3" t="inlineStr">
        <x:is>
          <x:t xml:space="preserve">未明</x:t>
        </x:is>
      </x:c>
      <x:c r="P18" s="3" t="inlineStr">
        <x:is>
          <x:t xml:space="preserve">皮镜图像</x:t>
        </x:is>
      </x:c>
      <x:c r="Q18" s="3" t="inlineStr">
        <x:is>
          <x:t xml:space="preserve">好</x:t>
        </x:is>
      </x:c>
      <x:c r="R18" s="3" t="inlineStr">
        <x:is>
          <x:t xml:space="preserve">是</x:t>
        </x:is>
      </x:c>
      <x:c r="S18" s="9" t="inlineStr">
        <x:is>
          <x:t xml:space="preserve">有</x:t>
        </x:is>
      </x:c>
      <x:c r="T18" s="9" t="inlineStr">
        <x:is>
          <x:t xml:space="preserve">尽快转诊</x:t>
        </x:is>
      </x:c>
      <x:c r="U18" s="3" t="inlineStr">
        <x:is>
          <x:t xml:space="preserve">黑色素瘤</x:t>
        </x:is>
      </x:c>
      <x:c r="V18" s="3" t="inlineStr">
        <x:is>
          <x:t xml:space="preserve">不典型色素痣</x:t>
        </x:is>
      </x:c>
      <x:c r="W18" s="3" t="inlineStr">
        <x:is>
          <x:t xml:space="preserve">不典型色素痣/脂溢性角化</x:t>
        </x:is>
      </x:c>
      <x:c r="X18" s="3" t="inlineStr">
        <x:is>
          <x:t xml:space="preserve">皮镜下不对称、颜色不均、蓝白样区</x:t>
        </x:is>
      </x:c>
      <x:c r="Y18" s="3" t="inlineStr">
        <x:is>
          <x:t xml:space="preserve">训练不对称、颜色不均、蓝白样区、不规则黑点等高危线索的识别。</x:t>
        </x:is>
      </x:c>
      <x:c r="Z18" s="3" t="inlineStr">
        <x:is>
          <x:t xml:space="preserve">该图为皮镜层面的高危色素性病变示例。对于基层培训，更重要的是建立“看到不规则色素结构就尽快转诊”的规则意识。</x:t>
        </x:is>
      </x:c>
      <x:c r="AA18" s="3" t="inlineStr">
        <x:is>
          <x:t xml:space="preserve">是</x:t>
        </x:is>
      </x:c>
      <x:c r="AB18" s="3" t="inlineStr">
        <x:is>
          <x:t xml:space="preserve">高级</x:t>
        </x:is>
      </x:c>
      <x:c r="AC18" s="6" t="inlineStr">
        <x:is>
          <x:t xml:space="preserve">皮镜图像更适合高级训练模块。</x:t>
        </x:is>
      </x:c>
      <x:c r="AD18" s="8">
        <x:f>IF(T18="观察",1,IF(T18="普通转诊",2,IF(T18="尽快转诊",3,IF(T18="紧急",4,""))))</x:f>
        <x:v>3</x:v>
      </x:c>
      <x:c r="AE18" s="8" t="str">
        <x:f>IF(AA18="否","review",IF(R18="是","train_core",IF(S18="有","train_core","train_expand")))</x:f>
        <x:v>train_core</x:v>
      </x:c>
      <x:c r="AF18" s="8" t="str">
        <x:f>IF(AD18&gt;=4,"P1",IF(AD18=3,"P1",IF(AD18=2,"P2","P3")))</x:f>
        <x:v>P1</x:v>
      </x:c>
    </x:row>
    <x:row r="19">
      <x:c r="A19" s="5" t="inlineStr">
        <x:is>
          <x:t xml:space="preserve">CASE0018</x:t>
        </x:is>
      </x:c>
      <x:c r="B19" s="5" t="n">
        <x:v>18</x:v>
      </x:c>
      <x:c r="C19" s="5" t="inlineStr">
        <x:is>
          <x:t xml:space="preserve">PT018</x:t>
        </x:is>
      </x:c>
      <x:c r="D19" s="5" t="inlineStr">
        <x:is>
          <x:t xml:space="preserve">图片1.png</x:t>
        </x:is>
      </x:c>
      <x:c r="E19" s="6" t="inlineStr">
        <x:is>
          <x:t xml:space="preserve">./images/图片1.png</x:t>
        </x:is>
      </x:c>
      <x:c r="F19" s="5" t="inlineStr">
        <x:is>
          <x:t xml:space="preserve">皮蛋_种子病例库_v1</x:t>
        </x:is>
      </x:c>
      <x:c r="G19" s="5" t="inlineStr">
        <x:is>
          <x:t xml:space="preserve">黑色素瘤</x:t>
        </x:is>
      </x:c>
      <x:c r="H19" s="7" t="inlineStr">
        <x:is>
          <x:t xml:space="preserve">危险图</x:t>
        </x:is>
      </x:c>
      <x:c r="I19" s="5" t="inlineStr">
        <x:is>
          <x:t xml:space="preserve">肿瘤性皮肤病</x:t>
        </x:is>
      </x:c>
      <x:c r="J19" s="5" t="inlineStr">
        <x:is>
          <x:t xml:space="preserve">黑色素瘤</x:t>
        </x:is>
      </x:c>
      <x:c r="K19" s="5" t="inlineStr">
        <x:is>
          <x:t xml:space="preserve">黑色素瘤</x:t>
        </x:is>
      </x:c>
      <x:c r="L19" s="6" t="inlineStr">
        <x:is>
          <x:t xml:space="preserve">黑色素瘤</x:t>
        </x:is>
      </x:c>
      <x:c r="M19" s="6" t="inlineStr">
        <x:is>
          <x:t xml:space="preserve">工作标签-高危待终审</x:t>
        </x:is>
      </x:c>
      <x:c r="N19" s="6" t="inlineStr">
        <x:is>
          <x:t xml:space="preserve">未知</x:t>
        </x:is>
      </x:c>
      <x:c r="O19" s="3" t="inlineStr">
        <x:is>
          <x:t xml:space="preserve">足跟/踝后部</x:t>
        </x:is>
      </x:c>
      <x:c r="P19" s="3" t="inlineStr">
        <x:is>
          <x:t xml:space="preserve">大体图像</x:t>
        </x:is>
      </x:c>
      <x:c r="Q19" s="3" t="inlineStr">
        <x:is>
          <x:t xml:space="preserve">一般</x:t>
        </x:is>
      </x:c>
      <x:c r="R19" s="3" t="inlineStr">
        <x:is>
          <x:t xml:space="preserve">是</x:t>
        </x:is>
      </x:c>
      <x:c r="S19" s="9" t="inlineStr">
        <x:is>
          <x:t xml:space="preserve">有</x:t>
        </x:is>
      </x:c>
      <x:c r="T19" s="9" t="inlineStr">
        <x:is>
          <x:t xml:space="preserve">紧急</x:t>
        </x:is>
      </x:c>
      <x:c r="U19" s="3" t="inlineStr">
        <x:is>
          <x:t xml:space="preserve">黑色素瘤</x:t>
        </x:is>
      </x:c>
      <x:c r="V19" s="3" t="inlineStr">
        <x:is>
          <x:t xml:space="preserve">坏疽性溃疡/压疮样坏死</x:t>
        </x:is>
      </x:c>
      <x:c r="W19" s="3" t="inlineStr">
        <x:is>
          <x:t xml:space="preserve">糖尿病足溃疡/压疮/血疱</x:t>
        </x:is>
      </x:c>
      <x:c r="X19" s="3" t="inlineStr">
        <x:is>
          <x:t xml:space="preserve">足跟/踝后溃疡坏死性黑色病灶</x:t>
        </x:is>
      </x:c>
      <x:c r="Y19" s="3" t="inlineStr">
        <x:is>
          <x:t xml:space="preserve">训练对溃疡、坏死、黑色素性改变并存病灶的高危警觉。</x:t>
        </x:is>
      </x:c>
      <x:c r="Z19" s="3" t="inlineStr">
        <x:is>
          <x:t xml:space="preserve">该图属于必须优先识别和尽快处理的高危图。对于村医，核心不是鉴别得多精细，而是立即意识到不能观察拖延。</x:t>
        </x:is>
      </x:c>
      <x:c r="AA19" s="3" t="inlineStr">
        <x:is>
          <x:t xml:space="preserve">是</x:t>
        </x:is>
      </x:c>
      <x:c r="AB19" s="3" t="inlineStr">
        <x:is>
          <x:t xml:space="preserve">初级</x:t>
        </x:is>
      </x:c>
      <x:c r="AC19" s="6" t="inlineStr">
        <x:is>
          <x:t xml:space="preserve"/>
        </x:is>
      </x:c>
      <x:c r="AD19" s="8">
        <x:f>IF(T19="观察",1,IF(T19="普通转诊",2,IF(T19="尽快转诊",3,IF(T19="紧急",4,""))))</x:f>
        <x:v>4</x:v>
      </x:c>
      <x:c r="AE19" s="8" t="str">
        <x:f>IF(AA19="否","review",IF(R19="是","train_core",IF(S19="有","train_core","train_expand")))</x:f>
        <x:v>train_core</x:v>
      </x:c>
      <x:c r="AF19" s="8" t="str">
        <x:f>IF(AD19&gt;=4,"P1",IF(AD19=3,"P1",IF(AD19=2,"P2","P3")))</x:f>
        <x:v>P1</x:v>
      </x:c>
    </x:row>
    <x:row r="20">
      <x:c r="A20" s="5" t="inlineStr">
        <x:is>
          <x:t xml:space="preserve">CASE0019</x:t>
        </x:is>
      </x:c>
      <x:c r="B20" s="5" t="n">
        <x:v>19</x:v>
      </x:c>
      <x:c r="C20" s="5" t="inlineStr">
        <x:is>
          <x:t xml:space="preserve">PT019</x:t>
        </x:is>
      </x:c>
      <x:c r="D20" s="5" t="inlineStr">
        <x:is>
          <x:t xml:space="preserve">图片2.png</x:t>
        </x:is>
      </x:c>
      <x:c r="E20" s="6" t="inlineStr">
        <x:is>
          <x:t xml:space="preserve">./images/图片2.png</x:t>
        </x:is>
      </x:c>
      <x:c r="F20" s="5" t="inlineStr">
        <x:is>
          <x:t xml:space="preserve">皮蛋_种子病例库_v1</x:t>
        </x:is>
      </x:c>
      <x:c r="G20" s="5" t="inlineStr">
        <x:is>
          <x:t xml:space="preserve">黑色素瘤</x:t>
        </x:is>
      </x:c>
      <x:c r="H20" s="7" t="inlineStr">
        <x:is>
          <x:t xml:space="preserve">危险图</x:t>
        </x:is>
      </x:c>
      <x:c r="I20" s="5" t="inlineStr">
        <x:is>
          <x:t xml:space="preserve">肿瘤性皮肤病</x:t>
        </x:is>
      </x:c>
      <x:c r="J20" s="5" t="inlineStr">
        <x:is>
          <x:t xml:space="preserve">黑色素瘤</x:t>
        </x:is>
      </x:c>
      <x:c r="K20" s="5" t="inlineStr">
        <x:is>
          <x:t xml:space="preserve">黑色素瘤</x:t>
        </x:is>
      </x:c>
      <x:c r="L20" s="6" t="inlineStr">
        <x:is>
          <x:t xml:space="preserve">黑色素瘤</x:t>
        </x:is>
      </x:c>
      <x:c r="M20" s="6" t="inlineStr">
        <x:is>
          <x:t xml:space="preserve">工作标签-高危待终审</x:t>
        </x:is>
      </x:c>
      <x:c r="N20" s="6" t="inlineStr">
        <x:is>
          <x:t xml:space="preserve">未知</x:t>
        </x:is>
      </x:c>
      <x:c r="O20" s="3" t="inlineStr">
        <x:is>
          <x:t xml:space="preserve">足跟</x:t>
        </x:is>
      </x:c>
      <x:c r="P20" s="3" t="inlineStr">
        <x:is>
          <x:t xml:space="preserve">大体图像</x:t>
        </x:is>
      </x:c>
      <x:c r="Q20" s="3" t="inlineStr">
        <x:is>
          <x:t xml:space="preserve">好</x:t>
        </x:is>
      </x:c>
      <x:c r="R20" s="3" t="inlineStr">
        <x:is>
          <x:t xml:space="preserve">是</x:t>
        </x:is>
      </x:c>
      <x:c r="S20" s="9" t="inlineStr">
        <x:is>
          <x:t xml:space="preserve">有</x:t>
        </x:is>
      </x:c>
      <x:c r="T20" s="9" t="inlineStr">
        <x:is>
          <x:t xml:space="preserve">紧急</x:t>
        </x:is>
      </x:c>
      <x:c r="U20" s="3" t="inlineStr">
        <x:is>
          <x:t xml:space="preserve">黑色素瘤</x:t>
        </x:is>
      </x:c>
      <x:c r="V20" s="3" t="inlineStr">
        <x:is>
          <x:t xml:space="preserve">坏死性慢性溃疡</x:t>
        </x:is>
      </x:c>
      <x:c r="W20" s="3" t="inlineStr">
        <x:is>
          <x:t xml:space="preserve">糖尿病足溃疡/感染性坏死</x:t>
        </x:is>
      </x:c>
      <x:c r="X20" s="3" t="inlineStr">
        <x:is>
          <x:t xml:space="preserve">足跟巨大坏死性黑色病灶</x:t>
        </x:is>
      </x:c>
      <x:c r="Y20" s="3" t="inlineStr">
        <x:is>
          <x:t xml:space="preserve">看到巨大坏死性黑色病灶时，先判断高危，再决定紧急转诊，而不是先尝试基层长期处理。</x:t>
        </x:is>
      </x:c>
      <x:c r="Z20" s="3" t="inlineStr">
        <x:is>
          <x:t xml:space="preserve">该图是高危示例，教学重点是识别明显异常、不能拖延、必须上转。</x:t>
        </x:is>
      </x:c>
      <x:c r="AA20" s="3" t="inlineStr">
        <x:is>
          <x:t xml:space="preserve">是</x:t>
        </x:is>
      </x:c>
      <x:c r="AB20" s="3" t="inlineStr">
        <x:is>
          <x:t xml:space="preserve">初级</x:t>
        </x:is>
      </x:c>
      <x:c r="AC20" s="6" t="inlineStr">
        <x:is>
          <x:t xml:space="preserve"/>
        </x:is>
      </x:c>
      <x:c r="AD20" s="8">
        <x:f>IF(T20="观察",1,IF(T20="普通转诊",2,IF(T20="尽快转诊",3,IF(T20="紧急",4,""))))</x:f>
        <x:v>4</x:v>
      </x:c>
      <x:c r="AE20" s="8" t="str">
        <x:f>IF(AA20="否","review",IF(R20="是","train_core",IF(S20="有","train_core","train_expand")))</x:f>
        <x:v>train_core</x:v>
      </x:c>
      <x:c r="AF20" s="8" t="str">
        <x:f>IF(AD20&gt;=4,"P1",IF(AD20=3,"P1",IF(AD20=2,"P2","P3")))</x:f>
        <x:v>P1</x:v>
      </x:c>
    </x:row>
    <x:row r="21">
      <x:c r="A21" s="5" t="inlineStr">
        <x:is>
          <x:t xml:space="preserve">CASE0020</x:t>
        </x:is>
      </x:c>
      <x:c r="B21" s="5" t="n">
        <x:v>20</x:v>
      </x:c>
      <x:c r="C21" s="5" t="inlineStr">
        <x:is>
          <x:t xml:space="preserve">PT020</x:t>
        </x:is>
      </x:c>
      <x:c r="D21" s="5" t="inlineStr">
        <x:is>
          <x:t xml:space="preserve">图片3.png</x:t>
        </x:is>
      </x:c>
      <x:c r="E21" s="6" t="inlineStr">
        <x:is>
          <x:t xml:space="preserve">./images/图片3.png</x:t>
        </x:is>
      </x:c>
      <x:c r="F21" s="5" t="inlineStr">
        <x:is>
          <x:t xml:space="preserve">皮蛋_种子病例库_v1</x:t>
        </x:is>
      </x:c>
      <x:c r="G21" s="5" t="inlineStr">
        <x:is>
          <x:t xml:space="preserve">黑色素瘤</x:t>
        </x:is>
      </x:c>
      <x:c r="H21" s="7" t="inlineStr">
        <x:is>
          <x:t xml:space="preserve">危险图</x:t>
        </x:is>
      </x:c>
      <x:c r="I21" s="5" t="inlineStr">
        <x:is>
          <x:t xml:space="preserve">肿瘤性皮肤病</x:t>
        </x:is>
      </x:c>
      <x:c r="J21" s="5" t="inlineStr">
        <x:is>
          <x:t xml:space="preserve">黑色素瘤</x:t>
        </x:is>
      </x:c>
      <x:c r="K21" s="5" t="inlineStr">
        <x:is>
          <x:t xml:space="preserve">黑色素瘤</x:t>
        </x:is>
      </x:c>
      <x:c r="L21" s="6" t="inlineStr">
        <x:is>
          <x:t xml:space="preserve">黑色素瘤</x:t>
        </x:is>
      </x:c>
      <x:c r="M21" s="6" t="inlineStr">
        <x:is>
          <x:t xml:space="preserve">工作标签-高危待终审</x:t>
        </x:is>
      </x:c>
      <x:c r="N21" s="6" t="inlineStr">
        <x:is>
          <x:t xml:space="preserve">未知</x:t>
        </x:is>
      </x:c>
      <x:c r="O21" s="3" t="inlineStr">
        <x:is>
          <x:t xml:space="preserve">足底外侧前足区</x:t>
        </x:is>
      </x:c>
      <x:c r="P21" s="3" t="inlineStr">
        <x:is>
          <x:t xml:space="preserve">大体图像</x:t>
        </x:is>
      </x:c>
      <x:c r="Q21" s="3" t="inlineStr">
        <x:is>
          <x:t xml:space="preserve">好</x:t>
        </x:is>
      </x:c>
      <x:c r="R21" s="3" t="inlineStr">
        <x:is>
          <x:t xml:space="preserve">中等</x:t>
        </x:is>
      </x:c>
      <x:c r="S21" s="9" t="inlineStr">
        <x:is>
          <x:t xml:space="preserve">有</x:t>
        </x:is>
      </x:c>
      <x:c r="T21" s="9" t="inlineStr">
        <x:is>
          <x:t xml:space="preserve">尽快转诊</x:t>
        </x:is>
      </x:c>
      <x:c r="U21" s="3" t="inlineStr">
        <x:is>
          <x:t xml:space="preserve">黑色素瘤</x:t>
        </x:is>
      </x:c>
      <x:c r="V21" s="3" t="inlineStr">
        <x:is>
          <x:t xml:space="preserve">血疱/外伤性色素沉着</x:t>
        </x:is>
      </x:c>
      <x:c r="W21" s="3" t="inlineStr">
        <x:is>
          <x:t xml:space="preserve">血疱/摩擦性色素沉着</x:t>
        </x:is>
      </x:c>
      <x:c r="X21" s="3" t="inlineStr">
        <x:is>
          <x:t xml:space="preserve">足底小型黑色素性病灶</x:t>
        </x:is>
      </x:c>
      <x:c r="Y21" s="3" t="inlineStr">
        <x:is>
          <x:t xml:space="preserve">足底小型黑色病灶即使不大，也要看部位、颜色和边界，不能轻易当外伤处理。</x:t>
        </x:is>
      </x:c>
      <x:c r="Z21" s="3" t="inlineStr">
        <x:is>
          <x:t xml:space="preserve">该图适合训练“足底小病灶也可能高危”的规则意识。关键教学点是部位高危和不应轻易忽视。</x:t>
        </x:is>
      </x:c>
      <x:c r="AA21" s="3" t="inlineStr">
        <x:is>
          <x:t xml:space="preserve">是</x:t>
        </x:is>
      </x:c>
      <x:c r="AB21" s="3" t="inlineStr">
        <x:is>
          <x:t xml:space="preserve">中级</x:t>
        </x:is>
      </x:c>
      <x:c r="AC21" s="6" t="inlineStr">
        <x:is>
          <x:t xml:space="preserve"/>
        </x:is>
      </x:c>
      <x:c r="AD21" s="8">
        <x:f>IF(T21="观察",1,IF(T21="普通转诊",2,IF(T21="尽快转诊",3,IF(T21="紧急",4,""))))</x:f>
        <x:v>3</x:v>
      </x:c>
      <x:c r="AE21" s="8" t="str">
        <x:f>IF(AA21="否","review",IF(R21="是","train_core",IF(S21="有","train_core","train_expand")))</x:f>
        <x:v>train_core</x:v>
      </x:c>
      <x:c r="AF21" s="8" t="str">
        <x:f>IF(AD21&gt;=4,"P1",IF(AD21=3,"P1",IF(AD21=2,"P2","P3")))</x:f>
        <x:v>P1</x:v>
      </x:c>
    </x:row>
    <x:row r="22">
      <x:c r="A22" s="5" t="inlineStr">
        <x:is>
          <x:t xml:space="preserve">CASE0021</x:t>
        </x:is>
      </x:c>
      <x:c r="B22" s="5" t="n">
        <x:v>21</x:v>
      </x:c>
      <x:c r="C22" s="5" t="inlineStr">
        <x:is>
          <x:t xml:space="preserve">PT021</x:t>
        </x:is>
      </x:c>
      <x:c r="D22" s="5" t="inlineStr">
        <x:is>
          <x:t xml:space="preserve">图片4.png</x:t>
        </x:is>
      </x:c>
      <x:c r="E22" s="6" t="inlineStr">
        <x:is>
          <x:t xml:space="preserve">./images/图片4.png</x:t>
        </x:is>
      </x:c>
      <x:c r="F22" s="5" t="inlineStr">
        <x:is>
          <x:t xml:space="preserve">皮蛋_种子病例库_v1</x:t>
        </x:is>
      </x:c>
      <x:c r="G22" s="5" t="inlineStr">
        <x:is>
          <x:t xml:space="preserve">黑色素瘤</x:t>
        </x:is>
      </x:c>
      <x:c r="H22" s="7" t="inlineStr">
        <x:is>
          <x:t xml:space="preserve">危险图</x:t>
        </x:is>
      </x:c>
      <x:c r="I22" s="5" t="inlineStr">
        <x:is>
          <x:t xml:space="preserve">肿瘤性皮肤病</x:t>
        </x:is>
      </x:c>
      <x:c r="J22" s="5" t="inlineStr">
        <x:is>
          <x:t xml:space="preserve">黑色素瘤</x:t>
        </x:is>
      </x:c>
      <x:c r="K22" s="5" t="inlineStr">
        <x:is>
          <x:t xml:space="preserve">黑色素瘤</x:t>
        </x:is>
      </x:c>
      <x:c r="L22" s="6" t="inlineStr">
        <x:is>
          <x:t xml:space="preserve">黑色素瘤</x:t>
        </x:is>
      </x:c>
      <x:c r="M22" s="6" t="inlineStr">
        <x:is>
          <x:t xml:space="preserve">工作标签-高危待终审</x:t>
        </x:is>
      </x:c>
      <x:c r="N22" s="6" t="inlineStr">
        <x:is>
          <x:t xml:space="preserve">未知</x:t>
        </x:is>
      </x:c>
      <x:c r="O22" s="3" t="inlineStr">
        <x:is>
          <x:t xml:space="preserve">未明</x:t>
        </x:is>
      </x:c>
      <x:c r="P22" s="3" t="inlineStr">
        <x:is>
          <x:t xml:space="preserve">局部近景</x:t>
        </x:is>
      </x:c>
      <x:c r="Q22" s="3" t="inlineStr">
        <x:is>
          <x:t xml:space="preserve">好</x:t>
        </x:is>
      </x:c>
      <x:c r="R22" s="3" t="inlineStr">
        <x:is>
          <x:t xml:space="preserve">是</x:t>
        </x:is>
      </x:c>
      <x:c r="S22" s="9" t="inlineStr">
        <x:is>
          <x:t xml:space="preserve">有</x:t>
        </x:is>
      </x:c>
      <x:c r="T22" s="9" t="inlineStr">
        <x:is>
          <x:t xml:space="preserve">尽快转诊</x:t>
        </x:is>
      </x:c>
      <x:c r="U22" s="3" t="inlineStr">
        <x:is>
          <x:t xml:space="preserve">黑色素瘤</x:t>
        </x:is>
      </x:c>
      <x:c r="V22" s="3" t="inlineStr">
        <x:is>
          <x:t xml:space="preserve">不典型色素痣</x:t>
        </x:is>
      </x:c>
      <x:c r="W22" s="3" t="inlineStr">
        <x:is>
          <x:t xml:space="preserve">色素痣/不典型痣</x:t>
        </x:is>
      </x:c>
      <x:c r="X22" s="3" t="inlineStr">
        <x:is>
          <x:t xml:space="preserve">小型不对称色素性病灶</x:t>
        </x:is>
      </x:c>
      <x:c r="Y22" s="3" t="inlineStr">
        <x:is>
          <x:t xml:space="preserve">训练不对称、边界不规则、颜色不均的 ABCDE 思维。</x:t>
        </x:is>
      </x:c>
      <x:c r="Z22" s="3" t="inlineStr">
        <x:is>
          <x:t xml:space="preserve">该图适合作为色素性病变早期高危识别示例，核心教学点是不规则而非“单纯黑色”。</x:t>
        </x:is>
      </x:c>
      <x:c r="AA22" s="3" t="inlineStr">
        <x:is>
          <x:t xml:space="preserve">是</x:t>
        </x:is>
      </x:c>
      <x:c r="AB22" s="3" t="inlineStr">
        <x:is>
          <x:t xml:space="preserve">中级</x:t>
        </x:is>
      </x:c>
      <x:c r="AC22" s="6" t="inlineStr">
        <x:is>
          <x:t xml:space="preserve"/>
        </x:is>
      </x:c>
      <x:c r="AD22" s="8">
        <x:f>IF(T22="观察",1,IF(T22="普通转诊",2,IF(T22="尽快转诊",3,IF(T22="紧急",4,""))))</x:f>
        <x:v>3</x:v>
      </x:c>
      <x:c r="AE22" s="8" t="str">
        <x:f>IF(AA22="否","review",IF(R22="是","train_core",IF(S22="有","train_core","train_expand")))</x:f>
        <x:v>train_core</x:v>
      </x:c>
      <x:c r="AF22" s="8" t="str">
        <x:f>IF(AD22&gt;=4,"P1",IF(AD22=3,"P1",IF(AD22=2,"P2","P3")))</x:f>
        <x:v>P1</x:v>
      </x:c>
    </x:row>
    <x:row r="23">
      <x:c r="A23" s="5" t="inlineStr">
        <x:is>
          <x:t xml:space="preserve">CASE0022</x:t>
        </x:is>
      </x:c>
      <x:c r="B23" s="5" t="n">
        <x:v>22</x:v>
      </x:c>
      <x:c r="C23" s="5" t="inlineStr">
        <x:is>
          <x:t xml:space="preserve">PT022</x:t>
        </x:is>
      </x:c>
      <x:c r="D23" s="5" t="inlineStr">
        <x:is>
          <x:t xml:space="preserve">图片5.png</x:t>
        </x:is>
      </x:c>
      <x:c r="E23" s="6" t="inlineStr">
        <x:is>
          <x:t xml:space="preserve">./images/图片5.png</x:t>
        </x:is>
      </x:c>
      <x:c r="F23" s="5" t="inlineStr">
        <x:is>
          <x:t xml:space="preserve">皮蛋_种子病例库_v1</x:t>
        </x:is>
      </x:c>
      <x:c r="G23" s="5" t="inlineStr">
        <x:is>
          <x:t xml:space="preserve">黑色素瘤</x:t>
        </x:is>
      </x:c>
      <x:c r="H23" s="7" t="inlineStr">
        <x:is>
          <x:t xml:space="preserve">易混淆图</x:t>
        </x:is>
      </x:c>
      <x:c r="I23" s="5" t="inlineStr">
        <x:is>
          <x:t xml:space="preserve">肿瘤性皮肤病</x:t>
        </x:is>
      </x:c>
      <x:c r="J23" s="5" t="inlineStr">
        <x:is>
          <x:t xml:space="preserve">黑色素瘤</x:t>
        </x:is>
      </x:c>
      <x:c r="K23" s="5" t="inlineStr">
        <x:is>
          <x:t xml:space="preserve">黑色素瘤</x:t>
        </x:is>
      </x:c>
      <x:c r="L23" s="6" t="inlineStr">
        <x:is>
          <x:t xml:space="preserve">黑色素瘤</x:t>
        </x:is>
      </x:c>
      <x:c r="M23" s="6" t="inlineStr">
        <x:is>
          <x:t xml:space="preserve">工作标签-高危待终审</x:t>
        </x:is>
      </x:c>
      <x:c r="N23" s="6" t="inlineStr">
        <x:is>
          <x:t xml:space="preserve">未知</x:t>
        </x:is>
      </x:c>
      <x:c r="O23" s="3" t="inlineStr">
        <x:is>
          <x:t xml:space="preserve">未明</x:t>
        </x:is>
      </x:c>
      <x:c r="P23" s="3" t="inlineStr">
        <x:is>
          <x:t xml:space="preserve">局部近景</x:t>
        </x:is>
      </x:c>
      <x:c r="Q23" s="3" t="inlineStr">
        <x:is>
          <x:t xml:space="preserve">好</x:t>
        </x:is>
      </x:c>
      <x:c r="R23" s="3" t="inlineStr">
        <x:is>
          <x:t xml:space="preserve">否</x:t>
        </x:is>
      </x:c>
      <x:c r="S23" s="9" t="inlineStr">
        <x:is>
          <x:t xml:space="preserve">有</x:t>
        </x:is>
      </x:c>
      <x:c r="T23" s="9" t="inlineStr">
        <x:is>
          <x:t xml:space="preserve">尽快转诊</x:t>
        </x:is>
      </x:c>
      <x:c r="U23" s="3" t="inlineStr">
        <x:is>
          <x:t xml:space="preserve">黑色素瘤</x:t>
        </x:is>
      </x:c>
      <x:c r="V23" s="3" t="inlineStr">
        <x:is>
          <x:t xml:space="preserve">皮内痣</x:t>
        </x:is>
      </x:c>
      <x:c r="W23" s="3" t="inlineStr">
        <x:is>
          <x:t xml:space="preserve">皮内痣/脂溢性角化</x:t>
        </x:is>
      </x:c>
      <x:c r="X23" s="3" t="inlineStr">
        <x:is>
          <x:t xml:space="preserve">隆起性色素性病灶，形态不典型</x:t>
        </x:is>
      </x:c>
      <x:c r="Y23" s="3" t="inlineStr">
        <x:is>
          <x:t xml:space="preserve">训练对“外观像良性隆起痣，但分类为高危”这种非典型素材的谨慎处理。</x:t>
        </x:is>
      </x:c>
      <x:c r="Z23" s="3" t="inlineStr">
        <x:is>
          <x:t xml:space="preserve">按用户当前分组归入黑色素瘤，但外观不够典型，不建议作为首批核心教学正样本。更适合保留在扩展集，由医生复核后决定用途。</x:t>
        </x:is>
      </x:c>
      <x:c r="AA23" s="3" t="inlineStr">
        <x:is>
          <x:t xml:space="preserve">否</x:t>
        </x:is>
      </x:c>
      <x:c r="AB23" s="3" t="inlineStr">
        <x:is>
          <x:t xml:space="preserve">高级</x:t>
        </x:is>
      </x:c>
      <x:c r="AC23" s="6" t="inlineStr">
        <x:is>
          <x:t xml:space="preserve">建议病理或临床终审后再决定是否纳入主题库。</x:t>
        </x:is>
      </x:c>
      <x:c r="AD23" s="8">
        <x:f>IF(T23="观察",1,IF(T23="普通转诊",2,IF(T23="尽快转诊",3,IF(T23="紧急",4,""))))</x:f>
        <x:v>3</x:v>
      </x:c>
      <x:c r="AE23" s="8" t="str">
        <x:f>IF(AA23="否","review",IF(R23="是","train_core",IF(S23="有","train_core","train_expand")))</x:f>
        <x:v>review</x:v>
      </x:c>
      <x:c r="AF23" s="8" t="str">
        <x:f>IF(AD23&gt;=4,"P1",IF(AD23=3,"P1",IF(AD23=2,"P2","P3")))</x:f>
        <x:v>P1</x:v>
      </x:c>
    </x:row>
    <x:row r="24">
      <x:c r="A24" s="5" t="inlineStr">
        <x:is>
          <x:t xml:space="preserve">CASE0023</x:t>
        </x:is>
      </x:c>
      <x:c r="B24" s="5" t="n">
        <x:v>23</x:v>
      </x:c>
      <x:c r="C24" s="5" t="inlineStr">
        <x:is>
          <x:t xml:space="preserve">PT023</x:t>
        </x:is>
      </x:c>
      <x:c r="D24" s="5" t="inlineStr">
        <x:is>
          <x:t xml:space="preserve">图片6.png</x:t>
        </x:is>
      </x:c>
      <x:c r="E24" s="6" t="inlineStr">
        <x:is>
          <x:t xml:space="preserve">./images/图片6.png</x:t>
        </x:is>
      </x:c>
      <x:c r="F24" s="5" t="inlineStr">
        <x:is>
          <x:t xml:space="preserve">皮蛋_种子病例库_v1</x:t>
        </x:is>
      </x:c>
      <x:c r="G24" s="5" t="inlineStr">
        <x:is>
          <x:t xml:space="preserve">黑色素瘤</x:t>
        </x:is>
      </x:c>
      <x:c r="H24" s="7" t="inlineStr">
        <x:is>
          <x:t xml:space="preserve">危险图</x:t>
        </x:is>
      </x:c>
      <x:c r="I24" s="5" t="inlineStr">
        <x:is>
          <x:t xml:space="preserve">肿瘤性皮肤病</x:t>
        </x:is>
      </x:c>
      <x:c r="J24" s="5" t="inlineStr">
        <x:is>
          <x:t xml:space="preserve">黑色素瘤</x:t>
        </x:is>
      </x:c>
      <x:c r="K24" s="5" t="inlineStr">
        <x:is>
          <x:t xml:space="preserve">黑色素瘤</x:t>
        </x:is>
      </x:c>
      <x:c r="L24" s="6" t="inlineStr">
        <x:is>
          <x:t xml:space="preserve">黑色素瘤</x:t>
        </x:is>
      </x:c>
      <x:c r="M24" s="6" t="inlineStr">
        <x:is>
          <x:t xml:space="preserve">工作标签-高危待终审</x:t>
        </x:is>
      </x:c>
      <x:c r="N24" s="6" t="inlineStr">
        <x:is>
          <x:t xml:space="preserve">未知</x:t>
        </x:is>
      </x:c>
      <x:c r="O24" s="3" t="inlineStr">
        <x:is>
          <x:t xml:space="preserve">未明</x:t>
        </x:is>
      </x:c>
      <x:c r="P24" s="3" t="inlineStr">
        <x:is>
          <x:t xml:space="preserve">局部近景</x:t>
        </x:is>
      </x:c>
      <x:c r="Q24" s="3" t="inlineStr">
        <x:is>
          <x:t xml:space="preserve">好</x:t>
        </x:is>
      </x:c>
      <x:c r="R24" s="3" t="inlineStr">
        <x:is>
          <x:t xml:space="preserve">是</x:t>
        </x:is>
      </x:c>
      <x:c r="S24" s="9" t="inlineStr">
        <x:is>
          <x:t xml:space="preserve">有</x:t>
        </x:is>
      </x:c>
      <x:c r="T24" s="9" t="inlineStr">
        <x:is>
          <x:t xml:space="preserve">尽快转诊</x:t>
        </x:is>
      </x:c>
      <x:c r="U24" s="3" t="inlineStr">
        <x:is>
          <x:t xml:space="preserve">黑色素瘤</x:t>
        </x:is>
      </x:c>
      <x:c r="V24" s="3" t="inlineStr">
        <x:is>
          <x:t xml:space="preserve">色素痣</x:t>
        </x:is>
      </x:c>
      <x:c r="W24" s="3" t="inlineStr">
        <x:is>
          <x:t xml:space="preserve">色素痣/脂溢性角化</x:t>
        </x:is>
      </x:c>
      <x:c r="X24" s="3" t="inlineStr">
        <x:is>
          <x:t xml:space="preserve">边界不规则、颜色不均的色素性病灶</x:t>
        </x:is>
      </x:c>
      <x:c r="Y24" s="3" t="inlineStr">
        <x:is>
          <x:t xml:space="preserve">训练边界不规则、颜色不均、局部隆起或结节样改变的识别。</x:t>
        </x:is>
      </x:c>
      <x:c r="Z24" s="3" t="inlineStr">
        <x:is>
          <x:t xml:space="preserve">该图可作为高危色素性病变示例。基层教学中应把重点放在“看到异常就尽快转诊”，而不是强行现场定性。</x:t>
        </x:is>
      </x:c>
      <x:c r="AA24" s="3" t="inlineStr">
        <x:is>
          <x:t xml:space="preserve">是</x:t>
        </x:is>
      </x:c>
      <x:c r="AB24" s="3" t="inlineStr">
        <x:is>
          <x:t xml:space="preserve">中级</x:t>
        </x:is>
      </x:c>
      <x:c r="AC24" s="6" t="inlineStr">
        <x:is>
          <x:t xml:space="preserve"/>
        </x:is>
      </x:c>
      <x:c r="AD24" s="8">
        <x:f>IF(T24="观察",1,IF(T24="普通转诊",2,IF(T24="尽快转诊",3,IF(T24="紧急",4,""))))</x:f>
        <x:v>3</x:v>
      </x:c>
      <x:c r="AE24" s="8" t="str">
        <x:f>IF(AA24="否","review",IF(R24="是","train_core",IF(S24="有","train_core","train_expand")))</x:f>
        <x:v>train_core</x:v>
      </x:c>
      <x:c r="AF24" s="8" t="str">
        <x:f>IF(AD24&gt;=4,"P1",IF(AD24=3,"P1",IF(AD24=2,"P2","P3")))</x:f>
        <x:v>P1</x:v>
      </x:c>
    </x:row>
  </x:sheetData>
  <x:dataValidations count="6">
    <x:dataValidation type="list" allowBlank="1" showDropDown="0" showInputMessage="0" showErrorMessage="0" sqref="R2:R24 AA2:AA24">
      <x:formula1>"是,否"</x:formula1>
    </x:dataValidation>
    <x:dataValidation type="list" allowBlank="1" showDropDown="0" showInputMessage="0" showErrorMessage="0" sqref="N2:N24">
      <x:formula1>"是,否,未知"</x:formula1>
    </x:dataValidation>
    <x:dataValidation type="list" allowBlank="1" showDropDown="0" showInputMessage="0" showErrorMessage="0" sqref="Q2:Q24">
      <x:formula1>"好,一般,差"</x:formula1>
    </x:dataValidation>
    <x:dataValidation type="list" allowBlank="1" showDropDown="0" showInputMessage="0" showErrorMessage="0" sqref="S2:S24">
      <x:formula1>"有,无"</x:formula1>
    </x:dataValidation>
    <x:dataValidation type="list" allowBlank="1" showDropDown="0" showInputMessage="0" showErrorMessage="0" sqref="T2:T24">
      <x:formula1>"观察,普通转诊,尽快转诊,紧急"</x:formula1>
    </x:dataValidation>
    <x:dataValidation type="list" allowBlank="1" showDropDown="0" showInputMessage="0" showErrorMessage="0" sqref="AB2:AB24">
      <x:formula1>"初级,中级,高级"</x:formula1>
    </x:dataValidation>
  </x:dataValidations>
  <x:pageMargins left="0.7" right="0.7" top="0.75" bottom="0.75" header="0.3" footer="0.3"/>
  <x:legacyDrawing xmlns:r="http://schemas.openxmlformats.org/officeDocument/2006/relationships" r:id="R8036e12d0be44b1d"/>
  <x:tableParts count="1">
    <x:tablePart xmlns:r="http://schemas.openxmlformats.org/officeDocument/2006/relationships" r:id="Rf34c14a297384e7a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2" customWidth="1"/>
    <x:col min="3" max="3" width="12" customWidth="1"/>
    <x:col min="4" max="4" width="12" customWidth="1"/>
    <x:col min="6" max="6" width="16" customWidth="1"/>
    <x:col min="7" max="7" width="10" customWidth="1"/>
    <x:col min="9" max="9" width="18" customWidth="1"/>
    <x:col min="10" max="10" width="10" customWidth="1"/>
  </x:cols>
  <x:sheetData>
    <x:row r="1">
      <x:c r="A1" s="10" t="inlineStr">
        <x:is>
          <x:t xml:space="preserve">皮蛋系统_统计看板</x:t>
        </x:is>
      </x:c>
    </x:row>
    <x:row r="2">
      <x:c r="A2" s="17" t="inlineStr">
        <x:is>
          <x:t xml:space="preserve">注：统计看板为当前 23 张图的静态快照；新增图片后请刷新统计。</x:t>
        </x:is>
      </x:c>
    </x:row>
    <x:row r="3">
      <x:c r="A3" s="11" t="inlineStr">
        <x:is>
          <x:t xml:space="preserve">总图片数</x:t>
        </x:is>
      </x:c>
      <x:c r="B3" s="12" t="n">
        <x:v>23</x:v>
      </x:c>
    </x:row>
    <x:row r="4">
      <x:c r="A4" s="11" t="inlineStr">
        <x:is>
          <x:t xml:space="preserve">可出题图片数</x:t>
        </x:is>
      </x:c>
      <x:c r="B4" s="12" t="n">
        <x:v>22</x:v>
      </x:c>
    </x:row>
    <x:row r="5">
      <x:c r="A5" s="11" t="inlineStr">
        <x:is>
          <x:t xml:space="preserve">高危图片数</x:t>
        </x:is>
      </x:c>
      <x:c r="B5" s="12" t="n">
        <x:v>7</x:v>
      </x:c>
    </x:row>
    <x:row r="6">
      <x:c r="A6" s="11" t="inlineStr">
        <x:is>
          <x:t xml:space="preserve">P1 优先级图片数</x:t>
        </x:is>
      </x:c>
      <x:c r="B6" s="12" t="n">
        <x:v>7</x:v>
      </x:c>
    </x:row>
    <x:row r="8">
      <x:c r="A8" s="13" t="inlineStr">
        <x:is>
          <x:t xml:space="preserve">按病种统计</x:t>
        </x:is>
      </x:c>
      <x:c r="F8" s="13" t="inlineStr">
        <x:is>
          <x:t xml:space="preserve">按用途标签统计</x:t>
        </x:is>
      </x:c>
      <x:c r="I8" s="13" t="inlineStr">
        <x:is>
          <x:t xml:space="preserve">按转诊级别统计</x:t>
        </x:is>
      </x:c>
    </x:row>
    <x:row r="9">
      <x:c r="A9" s="14" t="inlineStr">
        <x:is>
          <x:t xml:space="preserve">病种</x:t>
        </x:is>
      </x:c>
      <x:c r="B9" s="14" t="inlineStr">
        <x:is>
          <x:t xml:space="preserve">数量</x:t>
        </x:is>
      </x:c>
      <x:c r="C9" s="14" t="inlineStr">
        <x:is>
          <x:t xml:space="preserve">典型图</x:t>
        </x:is>
      </x:c>
      <x:c r="D9" s="14" t="inlineStr">
        <x:is>
          <x:t xml:space="preserve">高危图</x:t>
        </x:is>
      </x:c>
      <x:c r="F9" s="14" t="inlineStr">
        <x:is>
          <x:t xml:space="preserve">use_tag</x:t>
        </x:is>
      </x:c>
      <x:c r="G9" s="14" t="inlineStr">
        <x:is>
          <x:t xml:space="preserve">数量</x:t>
        </x:is>
      </x:c>
      <x:c r="I9" s="14" t="inlineStr">
        <x:is>
          <x:t xml:space="preserve">referral_level</x:t>
        </x:is>
      </x:c>
      <x:c r="J9" s="14" t="inlineStr">
        <x:is>
          <x:t xml:space="preserve">数量</x:t>
        </x:is>
      </x:c>
    </x:row>
    <x:row r="10">
      <x:c r="A10" t="inlineStr">
        <x:is>
          <x:t xml:space="preserve">银屑病</x:t>
        </x:is>
      </x:c>
      <x:c r="B10" t="n">
        <x:v>4</x:v>
      </x:c>
      <x:c r="C10" t="n">
        <x:v>1</x:v>
      </x:c>
      <x:c r="D10" t="n">
        <x:v>0</x:v>
      </x:c>
      <x:c r="F10" s="15" t="inlineStr">
        <x:is>
          <x:t xml:space="preserve">典型图</x:t>
        </x:is>
      </x:c>
      <x:c r="G10" t="n">
        <x:v>8</x:v>
      </x:c>
      <x:c r="I10" t="inlineStr">
        <x:is>
          <x:t xml:space="preserve">观察</x:t>
        </x:is>
      </x:c>
      <x:c r="J10" t="n">
        <x:v>11</x:v>
      </x:c>
    </x:row>
    <x:row r="11">
      <x:c r="A11" t="inlineStr">
        <x:is>
          <x:t xml:space="preserve">湿疹</x:t>
        </x:is>
      </x:c>
      <x:c r="B11" t="n">
        <x:v>4</x:v>
      </x:c>
      <x:c r="C11" t="n">
        <x:v>3</x:v>
      </x:c>
      <x:c r="D11" t="n">
        <x:v>0</x:v>
      </x:c>
      <x:c r="F11" s="16" t="inlineStr">
        <x:is>
          <x:t xml:space="preserve">易混淆图</x:t>
        </x:is>
      </x:c>
      <x:c r="G11" t="n">
        <x:v>7</x:v>
      </x:c>
      <x:c r="I11" t="inlineStr">
        <x:is>
          <x:t xml:space="preserve">普通转诊</x:t>
        </x:is>
      </x:c>
      <x:c r="J11" t="n">
        <x:v>5</x:v>
      </x:c>
    </x:row>
    <x:row r="12">
      <x:c r="A12" t="inlineStr">
        <x:is>
          <x:t xml:space="preserve">玫瑰糠疹</x:t>
        </x:is>
      </x:c>
      <x:c r="B12" t="n">
        <x:v>4</x:v>
      </x:c>
      <x:c r="C12" t="n">
        <x:v>4</x:v>
      </x:c>
      <x:c r="D12" t="n">
        <x:v>0</x:v>
      </x:c>
      <x:c r="F12" s="16" t="inlineStr">
        <x:is>
          <x:t xml:space="preserve">危险图</x:t>
        </x:is>
      </x:c>
      <x:c r="G12" t="n">
        <x:v>6</x:v>
      </x:c>
      <x:c r="I12" t="inlineStr">
        <x:is>
          <x:t xml:space="preserve">尽快转诊</x:t>
        </x:is>
      </x:c>
      <x:c r="J12" t="n">
        <x:v>5</x:v>
      </x:c>
    </x:row>
    <x:row r="13">
      <x:c r="A13" t="inlineStr">
        <x:is>
          <x:t xml:space="preserve">脂溢性皮炎</x:t>
        </x:is>
      </x:c>
      <x:c r="B13" t="n">
        <x:v>4</x:v>
      </x:c>
      <x:c r="C13" t="n">
        <x:v>0</x:v>
      </x:c>
      <x:c r="D13" t="n">
        <x:v>0</x:v>
      </x:c>
      <x:c r="F13" s="16" t="inlineStr">
        <x:is>
          <x:t xml:space="preserve">差质量图</x:t>
        </x:is>
      </x:c>
      <x:c r="G13" t="n">
        <x:v>2</x:v>
      </x:c>
      <x:c r="I13" t="inlineStr">
        <x:is>
          <x:t xml:space="preserve">紧急</x:t>
        </x:is>
      </x:c>
      <x:c r="J13" t="n">
        <x:v>2</x:v>
      </x:c>
    </x:row>
    <x:row r="14">
      <x:c r="A14" t="inlineStr">
        <x:is>
          <x:t xml:space="preserve">黑色素瘤</x:t>
        </x:is>
      </x:c>
      <x:c r="B14" t="n">
        <x:v>7</x:v>
      </x:c>
      <x:c r="C14" t="n">
        <x:v>5</x:v>
      </x:c>
      <x:c r="D14" t="n">
        <x:v>7</x:v>
      </x:c>
    </x:row>
  </x:sheetData>
  <x:pageMargins left="0.7" right="0.7" top="0.75" bottom="0.75" header="0.3" footer="0.3"/>
</x:worksheet>
</file>